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8_{BE7ECE6F-2512-6348-962E-22BED5FB2379}" xr6:coauthVersionLast="47" xr6:coauthVersionMax="47" xr10:uidLastSave="{00000000-0000-0000-0000-000000000000}"/>
  <bookViews>
    <workbookView xWindow="-98" yWindow="-98" windowWidth="20715" windowHeight="13155" activeTab="2" xr2:uid="{00000000-000D-0000-FFFF-FFFF00000000}"/>
  </bookViews>
  <sheets>
    <sheet name="Eco-Friendly Alternatives" sheetId="1" r:id="rId1"/>
    <sheet name="Chart_Category" sheetId="2" r:id="rId2"/>
    <sheet name="Chart_Incentives" sheetId="3" r:id="rId3"/>
    <sheet name="Chart_Mix" sheetId="4" r:id="rId4"/>
    <sheet name="Matrix_Relationships" sheetId="5" r:id="rId5"/>
    <sheet name="Chart_Replacements" sheetId="6" r:id="rId6"/>
    <sheet name="Executive_Dashboard" sheetId="7" r:id="rId7"/>
    <sheet name="Chart_Complexity" sheetId="9" r:id="rId8"/>
    <sheet name="Pivot_Dashboard" sheetId="8" r:id="rId9"/>
  </sheets>
  <definedNames>
    <definedName name="_xlnm._FilterDatabase" localSheetId="8" hidden="1">Pivot_Dashboard!$A$3:$E$28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<sst xmlns="http://schemas.openxmlformats.org/spreadsheetml/2006/main" count="399" uniqueCount="193">
  <si>
    <t>#</t>
  </si>
  <si>
    <t>Title</t>
  </si>
  <si>
    <t>Access Link</t>
  </si>
  <si>
    <t>Short Description</t>
  </si>
  <si>
    <t>Possible Replacements</t>
  </si>
  <si>
    <t>Category</t>
  </si>
  <si>
    <t>User Incentive / Reward Mechanism</t>
  </si>
  <si>
    <t>Incentive Type (Category)</t>
  </si>
  <si>
    <t>Ecosia</t>
  </si>
  <si>
    <t>https://www.ecosia.org</t>
  </si>
  <si>
    <t>A green search engine that plants trees using 80% of ad revenue and runs on 200% renewable solar energy. Over 230 million trees planted since 2009 with complete financial transparency.</t>
  </si>
  <si>
    <t>Google Search, Bing, DuckDuckGo</t>
  </si>
  <si>
    <t>Eco-Friendly Search Engines</t>
  </si>
  <si>
    <t>Visible tree counter and transparency: Users see exactly how many trees their searches have planted (every 45-50 searches = 1 tree) with monthly financial reports creating tangible environmental contribution and community belonging.</t>
  </si>
  <si>
    <t>Environmental Impact, Gamification, Awareness/Education, Community/Belonging</t>
  </si>
  <si>
    <t>Qwant</t>
  </si>
  <si>
    <t>https://www.qwant.com</t>
  </si>
  <si>
    <t>Privacy-first European search engine with GDPR compliance, no user tracking, and data hosted exclusively in Europe. Partnering with Ecosia to develop independent European Search Perspective index.</t>
  </si>
  <si>
    <t>Google Search, Bing, Yahoo</t>
  </si>
  <si>
    <t>Privacy protection and data sovereignty: Users gain complete freedom from tracking and data collection, with emotional reward of supporting European digital independence and GDPR-aligned values.</t>
  </si>
  <si>
    <t>Ethical Alignment, Convenience/Efficiency</t>
  </si>
  <si>
    <t>GOOD Search</t>
  </si>
  <si>
    <t>https://www.good-search.org</t>
  </si>
  <si>
    <t>Ad-free subscription search engine (€2-10/month) supporting UN SDGs monthly. 100% owned by non-profit GOOD Impact foundation with CO2-neutral operations using Brave Search index.</t>
  </si>
  <si>
    <t>Google Search, Bing</t>
  </si>
  <si>
    <t>Ad-free experience and SDG alignment: Users enjoy distraction-free searching while knowing their subscription directly supports rotating UN Sustainable Development Goals with transparent non-profit governance.</t>
  </si>
  <si>
    <t>Ethical Alignment, Convenience/Efficiency, Awareness/Education</t>
  </si>
  <si>
    <t>Ekoru</t>
  </si>
  <si>
    <t>https://www.ekoru.org</t>
  </si>
  <si>
    <t>Ocean-focused search engine channeling 60% revenue to ocean conservation and plastic removal. Runs on hydroelectricity with 4.4g less CO2 per search, removing 1 lb ocean plastic per search.</t>
  </si>
  <si>
    <t>Ocean conservation impact: Each search directly removes 1 pound of ocean plastic and supports seagrass restoration, appealing to users passionate about marine ecosystems with measurable per-search impact.</t>
  </si>
  <si>
    <t>Environmental Impact, Ethical Alignment</t>
  </si>
  <si>
    <t>Lilo</t>
  </si>
  <si>
    <t>https://www.lilo.org</t>
  </si>
  <si>
    <t>Solidarity search engine allowing users to direct 50% of ad revenue (€6M+ donated) to chosen causes via "water drop" currency system. Offsets own carbon emissions while supporting diverse environmental projects.</t>
  </si>
  <si>
    <t>Gamified choice and personalization: Users earn "water drops" per search and personally choose which causes receive funding, creating agency, gamification, and alignment with individual values beyond generic environmentalism.</t>
  </si>
  <si>
    <t>Gamification, Ethical Alignment, Financial Reward</t>
  </si>
  <si>
    <t>DeepSeek AI</t>
  </si>
  <si>
    <t>https://www.deepseek.com</t>
  </si>
  <si>
    <t>Energy-efficient generative AI using Mixture-of-Experts architecture requiring only 2,000 chips vs ChatGPT-4's 25,000. Requires one-tenth the GPU hours with substantially lower carbon footprint and water demand.</t>
  </si>
  <si>
    <t>ChatGPT, Claude, Gemini, Meta Llama</t>
  </si>
  <si>
    <t>Sustainable AI Models</t>
  </si>
  <si>
    <t>Cost efficiency and lower resource consumption: Developers benefit from reduced infrastructure costs (10x less GPU hours) while organizations gain powerful AI with substantially lower environmental guilt and operational expenses.</t>
  </si>
  <si>
    <t>Financial Reward, Convenience/Efficiency, Ethical Alignment</t>
  </si>
  <si>
    <t>ViroAI / ViroGPT</t>
  </si>
  <si>
    <t>https://www.viro.app</t>
  </si>
  <si>
    <t>First eco-friendly AI chatbot offsetting carbon footprint of every query through verified climate projects. Built on ChatGPT-4, Gemini, and Claude with monthly transparency reports on offsets.</t>
  </si>
  <si>
    <t>ChatGPT, Claude, Gemini, Copilot</t>
  </si>
  <si>
    <t>Carbon-neutral AI with transparency: Users receive monthly reports showing their total usage and verified offsets, providing peace of mind and tangible climate contribution while using familiar AI capabilities.</t>
  </si>
  <si>
    <t>Environmental Impact, Awareness/Education, Ethical Alignment</t>
  </si>
  <si>
    <t>GreenFrame.io</t>
  </si>
  <si>
    <t>https://www.greenframe.io</t>
  </si>
  <si>
    <t>Open-source CLI tool detecting "carbon leaks" in web applications across browser, network, server, and database. Integrates into CI/CD pipelines with configurable emission thresholds and scientific CO2 conversion model.</t>
  </si>
  <si>
    <t>Standard performance monitoring tools, New Relic, Datadog</t>
  </si>
  <si>
    <t>Digital Footprint Calculators</t>
  </si>
  <si>
    <t>Component-level optimization insights: Developers gain precise technical guidance identifying carbon hotspots with CI/CD integration that enforces emission limits, creating professional credibility and ESG compliance value.</t>
  </si>
  <si>
    <t>Awareness/Education, Convenience/Efficiency, Ethical Alignment</t>
  </si>
  <si>
    <t>Website Carbon Calculator</t>
  </si>
  <si>
    <t>https://www.websitecarbon.com</t>
  </si>
  <si>
    <t>Instant CO2 estimator for web pages using Sustainable Web Design Model v4. Provides A-F grades, checks green hosting status, and offers real-world impact comparisons.</t>
  </si>
  <si>
    <t>Generic website analytics, Google Analytics</t>
  </si>
  <si>
    <t>Instant gratification and simplicity: Non-technical users get immediate A-F grades with relatable comparisons (trees, tea cups) requiring no expertise, making sustainability accessible and shareable for marketing/credibility.</t>
  </si>
  <si>
    <t>Convenience/Efficiency, Awareness/Education, Gamification</t>
  </si>
  <si>
    <t>Digital Beacon</t>
  </si>
  <si>
    <t>https://www.digitalbeacon.co</t>
  </si>
  <si>
    <t>Detailed carbon footprint tool showing first-visit vs return-visit emissions, file category breakdowns, and improvement opportunities. Tracks last 10 tests with adjustable traffic metrics for annual carbon output.</t>
  </si>
  <si>
    <t>Website analytics tools, performance monitors</t>
  </si>
  <si>
    <t>Progress tracking and granular control: Historical tracking of 10 tests enables developers to monitor improvement over time with file-level detail, creating achievement satisfaction and actionable optimization roadmap.</t>
  </si>
  <si>
    <t>Gamification, Awareness/Education, Convenience/Efficiency</t>
  </si>
  <si>
    <t>Ecograder</t>
  </si>
  <si>
    <t>https://www.ecograder.com</t>
  </si>
  <si>
    <t>Sustainability grading tool evaluating website carbon, performance, accessibility, and best practices. Provides actionable recommendations for reducing environmental impact.</t>
  </si>
  <si>
    <t>Website audit tools, Lighthouse, PageSpeed Insights</t>
  </si>
  <si>
    <t>Holistic assessment and recommendations: Users receive comprehensive sustainability scoring beyond carbon (performance, accessibility) with specific improvement steps, simplifying complex optimization into clear action items.</t>
  </si>
  <si>
    <t>Awareness/Education, Convenience/Efficiency</t>
  </si>
  <si>
    <t>Cloud Carbon Footprint</t>
  </si>
  <si>
    <t>https://www.cloudcarbonfootprint.org</t>
  </si>
  <si>
    <t>Leading open-source tool measuring cloud emissions across AWS, GCP, and Azure. Tracks Scope 2 and 3 emissions with actionable recommendations and transparent methodology.</t>
  </si>
  <si>
    <t>AWS Carbon Footprint Tool, Google Cloud Carbon Footprint, Azure Sustainability Calculator</t>
  </si>
  <si>
    <t>Green Hosting &amp; Cloud</t>
  </si>
  <si>
    <t>Cost savings aligned with carbon reduction: Organizations achieve dual ROI through recommendations that reduce both cloud costs and emissions, with transparent open-source methodology building stakeholder trust.</t>
  </si>
  <si>
    <t>Financial Reward, Awareness/Education, Convenience/Efficiency</t>
  </si>
  <si>
    <t>CO2 AI</t>
  </si>
  <si>
    <t>https://www.co2ai.com</t>
  </si>
  <si>
    <t>AI-powered enterprise carbon footprinting platform processing vast data for audit-ready reporting. Uses emission factor databases to identify hotspots and prioritize reduction actions.</t>
  </si>
  <si>
    <t>Manual carbon accounting, spreadsheet-based tracking</t>
  </si>
  <si>
    <t>Time savings and audit compliance: Sustainability teams save weeks of manual work through AI automation while achieving first-year ROI and producing audit-ready reports that satisfy regulatory/investor requirements.</t>
  </si>
  <si>
    <t>Convenience/Efficiency, Financial Reward, Ethical Alignment</t>
  </si>
  <si>
    <t>Boavizta Cloud Scanner</t>
  </si>
  <si>
    <t>https://github.com/Boavizta/cloud-scanner</t>
  </si>
  <si>
    <t>Open-source multi-criteria environmental impact assessment for cloud services covering GWP, ADP, and PE. Uses bottom-up component-level methodology with independent data sources.</t>
  </si>
  <si>
    <t>Cloud provider native carbon tools</t>
  </si>
  <si>
    <t>Transparent independence from vendors: Users gain credible third-party assessment free from manufacturer bias, with multi-criteria analysis (GWP, ADP, PE) providing scientific rigor for stakeholder reporting.</t>
  </si>
  <si>
    <t>Awareness/Education, Ethical Alignment</t>
  </si>
  <si>
    <t>GreenGeeks</t>
  </si>
  <si>
    <t>https://www.greengeeks.com</t>
  </si>
  <si>
    <t>Web hosting with 300% renewable energy commitment through wind credits. EPA Green Power Partner offsetting 3x consumption starting at $2.95/month.</t>
  </si>
  <si>
    <t>GoDaddy, Bluehost, HostGator, SiteGround</t>
  </si>
  <si>
    <t>Affordable sustainability and marketing value: Competitive pricing ($2.95/month) removes cost barriers while EPA Green Power Partner status provides marketing credibility and brand differentiation for eco-conscious businesses.</t>
  </si>
  <si>
    <t>Financial Reward, Ethical Alignment, Awareness/Education</t>
  </si>
  <si>
    <t>DreamHost</t>
  </si>
  <si>
    <t>https://www.dreamhost.com</t>
  </si>
  <si>
    <t>Carbon-neutral web hosting since 2007 operating on 100% renewable energy. Offers WordPress hosting from $2.59/month with transparent energy reporting.</t>
  </si>
  <si>
    <t>GoDaddy, Bluehost, HostGator</t>
  </si>
  <si>
    <t>Legacy credibility and low barrier: Carbon-neutral since 2007 provides trust through longevity, while lowest entry price ($2.59/month) makes switching effortless for content creators prioritizing values.</t>
  </si>
  <si>
    <t>Financial Reward, Ethical Alignment, Convenience/Efficiency</t>
  </si>
  <si>
    <t>Carbon Aware SDK</t>
  </si>
  <si>
    <t>https://github.com/Green-Software-Foundation/carbon-aware-sdk</t>
  </si>
  <si>
    <t>Developer SDK shifting workloads to times/locations with lower grid carbon intensity. Integrates with real-time carbon forecasts for 24-hour optimization windows.</t>
  </si>
  <si>
    <t>Standard job schedulers, cron, Azure Batch</t>
  </si>
  <si>
    <t>Developer Tools &amp; Frameworks</t>
  </si>
  <si>
    <t>Emission reduction without performance trade-offs: Developers achieve significant carbon reductions (proven in UBS case study) through intelligent time-shifting while maintaining computational power, aligning efficiency with ethics.</t>
  </si>
  <si>
    <t>Environmental Impact, Convenience/Efficiency, Ethical Alignment</t>
  </si>
  <si>
    <t>CO2.js</t>
  </si>
  <si>
    <t>https://www.thegreenwebfoundation.org/co2-js</t>
  </si>
  <si>
    <t>JavaScript library implementing Sustainable Web Design model for per-request CO2 calculations. Adjusts for green hosting and server location energy intensity.</t>
  </si>
  <si>
    <t>No direct equivalent</t>
  </si>
  <si>
    <t>Programmatic integration and precision: Web developers gain granular per-request carbon calculations integrated into existing workflows (WebPageTest, Statsy use it), enabling data-driven optimization and transparency features.</t>
  </si>
  <si>
    <t>Convenience/Efficiency, Awareness/Education</t>
  </si>
  <si>
    <t>CodeCarbon</t>
  </si>
  <si>
    <t>https://www.codecarbon.io</t>
  </si>
  <si>
    <t>Python package tracking CO2 emissions from computational activities. Provides insights for code optimization and renewable-energy cloud region selection.</t>
  </si>
  <si>
    <t>Standard code profilers</t>
  </si>
  <si>
    <t>Lightweight visibility for AI/ML engineers: Python integration requires minimal setup while providing actionable insights (code optimization, region selection) specifically valuable for high-energy AI workloads.</t>
  </si>
  <si>
    <t>Green Metrics Tool</t>
  </si>
  <si>
    <t>https://www.green-coding.io</t>
  </si>
  <si>
    <t>Software life cycle analysis (SLCA) tool for energy and CO2 assessment. Integrates into existing repositories and testing infrastructure for transparency.</t>
  </si>
  <si>
    <t>Standard testing frameworks, Jenkins, GitHub Actions</t>
  </si>
  <si>
    <t>Seamless workflow integration: Reuses existing testing infrastructure removing adoption friction, while promoting team-wide energy consumption transparency and accountability through familiar development processes.</t>
  </si>
  <si>
    <t>Convenience/Efficiency, Awareness/Education, Community/Belonging</t>
  </si>
  <si>
    <t>Kepler</t>
  </si>
  <si>
    <t>https://github.com/sustainable-computing-io/kepler</t>
  </si>
  <si>
    <t>Kubernetes energy monitoring using eBPF to probe energy statistics. Exports Prometheus metrics for containerized workload visibility.</t>
  </si>
  <si>
    <t>Standard Kubernetes monitoring, Prometheus</t>
  </si>
  <si>
    <t>Real-time containerized visibility: DevOps teams gain immediate energy consumption insights within familiar Prometheus ecosystem, enabling optimization of high-scale Kubernetes deployments without new tooling.</t>
  </si>
  <si>
    <t>EcoCode</t>
  </si>
  <si>
    <t>https://github.com/green-code-initiative/ecoCode</t>
  </si>
  <si>
    <t>SonarQube plugin identifying code smells with environmental/social impact for Android and iOS. Provides static analysis for mobile eco-responsibility.</t>
  </si>
  <si>
    <t>SonarQube, ESLint, standard linters</t>
  </si>
  <si>
    <t>Quality-integrated sustainability: Mobile developers receive environmental/social impact flags within existing SonarQube quality workflow, making eco-responsibility part of code review without separate processes.</t>
  </si>
  <si>
    <t>Convenience/Efficiency, Awareness/Education, Ethical Alignment</t>
  </si>
  <si>
    <t>ec0lint</t>
  </si>
  <si>
    <t>https://www.ec0lint.com</t>
  </si>
  <si>
    <t>Static code analysis tool for web developers recommending carbon-reducing adjustments. Improves loading speed and space efficiency during development.</t>
  </si>
  <si>
    <t>ESLint, JSLint, Prettier</t>
  </si>
  <si>
    <t>Performance and carbon co-benefits: Developers gain faster loading speeds and improved efficiency while reducing carbon, aligning environmental goals with user experience improvements and professional quality standards.</t>
  </si>
  <si>
    <t>Convenience/Efficiency, Environmental Impact, Ethical Alignment</t>
  </si>
  <si>
    <t>Green Software Foundation</t>
  </si>
  <si>
    <t>https://www.greensoftware.foundation</t>
  </si>
  <si>
    <t>Umbrella organization fostering green software through standards, patterns, tooling, and community. Aims to reduce ICT emissions 45% by 2030 aligned with Paris Agreement.</t>
  </si>
  <si>
    <t>Industry leadership and community belonging: Developers and organizations join prestigious foundation (Microsoft, GitHub, Accenture, Goldman Sachs) gaining access to standards, patterns, networking, and credibility in emerging field.</t>
  </si>
  <si>
    <t>Community/Belonging, Ethical Alignment, Awareness/Education</t>
  </si>
  <si>
    <t>TreeClicks</t>
  </si>
  <si>
    <t>https://www.treeclicks.com</t>
  </si>
  <si>
    <t>Browser extension planting trees via affiliate revenue from 50,000+ shops (Amazon, IKEA, Booking.com). Free for Chrome, Firefox, Edge, Safari, Opera with automatic activation.</t>
  </si>
  <si>
    <t>Standard shopping extensions, Honey, Rakuten</t>
  </si>
  <si>
    <t>Awareness &amp; Offsetting Tools</t>
  </si>
  <si>
    <t>Effortless contribution and tree counter: Users plant trees automatically while shopping at 50,000+ retailers (Amazon, IKEA) with zero cost or behavior change, tracking total trees planted for achievement satisfaction.</t>
  </si>
  <si>
    <t>Environmental Impact, Convenience/Efficiency, Gamification</t>
  </si>
  <si>
    <t>Tool Count</t>
  </si>
  <si>
    <t>Incentive Type</t>
  </si>
  <si>
    <t>Count</t>
  </si>
  <si>
    <t>Convenience/Efficiency</t>
  </si>
  <si>
    <t>Awareness/Education</t>
  </si>
  <si>
    <t>Ethical Alignment</t>
  </si>
  <si>
    <t>Environmental Impact</t>
  </si>
  <si>
    <t>Financial Reward</t>
  </si>
  <si>
    <t>Gamification</t>
  </si>
  <si>
    <t>Community/Belonging</t>
  </si>
  <si>
    <t>Category-Incentive Relationship Heat Map</t>
  </si>
  <si>
    <t>Conventional Tool</t>
  </si>
  <si>
    <t>Number of Sustainable Alternatives</t>
  </si>
  <si>
    <t>Google Search</t>
  </si>
  <si>
    <t>Bing</t>
  </si>
  <si>
    <t>ChatGPT</t>
  </si>
  <si>
    <t>Claude</t>
  </si>
  <si>
    <t>Gemini</t>
  </si>
  <si>
    <t>GoDaddy</t>
  </si>
  <si>
    <t>Bluehost</t>
  </si>
  <si>
    <t>HostGator</t>
  </si>
  <si>
    <t>ESLint</t>
  </si>
  <si>
    <t>SUSTAINABLE DIGITAL TOOLS</t>
  </si>
  <si>
    <t>Executive Dashboard</t>
  </si>
  <si>
    <t>KEY METRICS</t>
  </si>
  <si>
    <t>Total Tools</t>
  </si>
  <si>
    <t>Categories</t>
  </si>
  <si>
    <t>Incentive Types</t>
  </si>
  <si>
    <t>Top Incentive</t>
  </si>
  <si>
    <t>Tool Index</t>
  </si>
  <si>
    <t>Tool Name</t>
  </si>
  <si>
    <t>Number of Incentives</t>
  </si>
  <si>
    <t>Interactive Tool Explorer</t>
  </si>
  <si>
    <t>Incentive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</si>
</sst>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2"/>
      <name val="Calibri"/>
    </font>
    <font>
      <b/>
      <sz val="18"/>
      <color rgb="FFFFFFFF"/>
      <name val="Calibri"/>
    </font>
    <font>
      <b/>
      <sz val="14"/>
      <color rgb="FFFFFFFF"/>
      <name val="Calibri"/>
    </font>
    <font>
      <b/>
      <sz val="24"/>
      <color rgb="FF228B22"/>
      <name val="Calibri"/>
    </font>
    <font>
      <b/>
      <sz val="11"/>
      <color rgb="FF228B2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28B22"/>
        <bgColor rgb="FF228B22"/>
      </patternFill>
    </fill>
    <fill>
      <patternFill patternType="solid">
        <fgColor rgb="FFE8F5E9"/>
        <bgColor rgb="FFE8F5E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5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textRotation="90" wrapText="1"/>
    </xf>
    <xf numFmtId="0" fontId="5" fillId="2" borderId="4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4" borderId="0" xfId="0" applyFont="1" applyFill="1"/>
    <xf numFmtId="0" fontId="3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6" fillId="4" borderId="0" xfId="0" applyFont="1" applyFill="1" applyAlignment="1"/>
    <xf numFmtId="0" fontId="0" fillId="4" borderId="0" xfId="0" applyFill="1" applyAlignment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6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28B22"/>
          <bgColor rgb="FF228B2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28B22"/>
          <bgColor rgb="FF228B2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28B22"/>
          <bgColor rgb="FF228B2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none"/>
      </font>
      <fill>
        <patternFill patternType="solid">
          <fgColor rgb="FF228B22"/>
          <bgColor rgb="FF228B2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none"/>
      </font>
      <fill>
        <patternFill patternType="solid">
          <fgColor rgb="FF228B22"/>
          <bgColor rgb="FF228B2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28B22"/>
          <bgColor rgb="FF228B2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28B22"/>
          <bgColor rgb="FF228B22"/>
        </patternFill>
      </fill>
      <alignment horizontal="center" vertical="center" textRotation="0" wrapText="0" indent="0" justifyLastLine="0" shrinkToFit="0" readingOrder="0"/>
    </dxf>
    <dxf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left" vertical="center" wrapText="1"/>
    </dxf>
    <dxf>
      <alignment horizontal="center" vertical="center" wrapText="1"/>
    </dxf>
    <dxf>
      <alignment horizontal="center" vertical="center" wrapText="1"/>
    </dxf>
    <dxf>
      <alignment horizontal="left" vertical="center" wrapText="1"/>
    </dxf>
    <dxf>
      <alignment horizontal="center" vertical="center" wrapText="1"/>
    </dxf>
    <dxf>
      <font>
        <b/>
      </font>
      <alignment horizontal="center" vertical="center" wrapText="1"/>
    </dxf>
    <dxf>
      <numFmt numFmtId="0" formatCode="General"/>
      <alignment horizontal="center" vertical="center" wrapText="1"/>
    </dxf>
    <dxf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Sustainable Tools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Chart_Category!$B$1</c:f>
              <c:strCache>
                <c:ptCount val="1"/>
                <c:pt idx="0">
                  <c:v>Tool 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E6-4388-9E87-3AAB670DD39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E6-4388-9E87-3AAB670DD39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E6-4388-9E87-3AAB670DD39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E6-4388-9E87-3AAB670DD39A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CE6-4388-9E87-3AAB670DD39A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CE6-4388-9E87-3AAB670DD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Chart_Category!$A$2:$A$7</c:f>
              <c:strCache>
                <c:ptCount val="6"/>
                <c:pt idx="0">
                  <c:v>Developer Tools &amp; Frameworks</c:v>
                </c:pt>
                <c:pt idx="1">
                  <c:v>Eco-Friendly Search Engines</c:v>
                </c:pt>
                <c:pt idx="2">
                  <c:v>Green Hosting &amp; Cloud</c:v>
                </c:pt>
                <c:pt idx="3">
                  <c:v>Digital Footprint Calculators</c:v>
                </c:pt>
                <c:pt idx="4">
                  <c:v>Sustainable AI Models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Chart_Category!$B$2:$B$7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4-4EEB-8821-B9341AB22F0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Tools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Common User Incentive Mechanisms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Chart_Incentives!$B$1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88-403C-A781-F49028B0E79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88-403C-A781-F49028B0E79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88-403C-A781-F49028B0E79F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88-403C-A781-F49028B0E79F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88-403C-A781-F49028B0E79F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B88-403C-A781-F49028B0E79F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B88-403C-A781-F49028B0E7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Chart_Incentives!$A$2:$A$8</c:f>
              <c:strCache>
                <c:ptCount val="7"/>
                <c:pt idx="0">
                  <c:v>Convenience/Efficiency</c:v>
                </c:pt>
                <c:pt idx="1">
                  <c:v>Awareness/Education</c:v>
                </c:pt>
                <c:pt idx="2">
                  <c:v>Ethical Alignment</c:v>
                </c:pt>
                <c:pt idx="3">
                  <c:v>Environmental Impact</c:v>
                </c:pt>
                <c:pt idx="4">
                  <c:v>Financial Reward</c:v>
                </c:pt>
                <c:pt idx="5">
                  <c:v>Gamification</c:v>
                </c:pt>
                <c:pt idx="6">
                  <c:v>Community/Belonging</c:v>
                </c:pt>
              </c:strCache>
            </c:strRef>
          </c:cat>
          <c:val>
            <c:numRef>
              <c:f>Chart_Incentives!$B$2:$B$8</c:f>
              <c:numCache>
                <c:formatCode>General</c:formatCode>
                <c:ptCount val="7"/>
                <c:pt idx="0">
                  <c:v>18</c:v>
                </c:pt>
                <c:pt idx="1">
                  <c:v>16</c:v>
                </c:pt>
                <c:pt idx="2">
                  <c:v>15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6-46F0-AB2B-9413F5DA3BE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Incentive Type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Incentive Strategy Mix by Tool Category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Chart_Mix!$B$1</c:f>
              <c:strCache>
                <c:ptCount val="1"/>
                <c:pt idx="0">
                  <c:v>Convenience/Efficiency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Chart_Mix!$A$2:$A$7</c:f>
              <c:strCache>
                <c:ptCount val="6"/>
                <c:pt idx="0">
                  <c:v>Eco-Friendly Search Engines</c:v>
                </c:pt>
                <c:pt idx="1">
                  <c:v>Sustainable AI Models</c:v>
                </c:pt>
                <c:pt idx="2">
                  <c:v>Digital Footprint Calculators</c:v>
                </c:pt>
                <c:pt idx="3">
                  <c:v>Green Hosting &amp; Cloud</c:v>
                </c:pt>
                <c:pt idx="4">
                  <c:v>Developer Tools &amp; Frameworks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Chart_Mix!$B$2:$B$7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B-4017-840A-54ADF6DC1169}"/>
            </c:ext>
          </c:extLst>
        </c:ser>
        <c:ser>
          <c:idx val="1"/>
          <c:order val="1"/>
          <c:tx>
            <c:strRef>
              <c:f>Chart_Mix!$C$1</c:f>
              <c:strCache>
                <c:ptCount val="1"/>
                <c:pt idx="0">
                  <c:v>Awareness/Education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Chart_Mix!$A$2:$A$7</c:f>
              <c:strCache>
                <c:ptCount val="6"/>
                <c:pt idx="0">
                  <c:v>Eco-Friendly Search Engines</c:v>
                </c:pt>
                <c:pt idx="1">
                  <c:v>Sustainable AI Models</c:v>
                </c:pt>
                <c:pt idx="2">
                  <c:v>Digital Footprint Calculators</c:v>
                </c:pt>
                <c:pt idx="3">
                  <c:v>Green Hosting &amp; Cloud</c:v>
                </c:pt>
                <c:pt idx="4">
                  <c:v>Developer Tools &amp; Frameworks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Chart_Mix!$C$2:$C$7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B-4017-840A-54ADF6DC1169}"/>
            </c:ext>
          </c:extLst>
        </c:ser>
        <c:ser>
          <c:idx val="2"/>
          <c:order val="2"/>
          <c:tx>
            <c:strRef>
              <c:f>Chart_Mix!$D$1</c:f>
              <c:strCache>
                <c:ptCount val="1"/>
                <c:pt idx="0">
                  <c:v>Ethical Alignment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Chart_Mix!$A$2:$A$7</c:f>
              <c:strCache>
                <c:ptCount val="6"/>
                <c:pt idx="0">
                  <c:v>Eco-Friendly Search Engines</c:v>
                </c:pt>
                <c:pt idx="1">
                  <c:v>Sustainable AI Models</c:v>
                </c:pt>
                <c:pt idx="2">
                  <c:v>Digital Footprint Calculators</c:v>
                </c:pt>
                <c:pt idx="3">
                  <c:v>Green Hosting &amp; Cloud</c:v>
                </c:pt>
                <c:pt idx="4">
                  <c:v>Developer Tools &amp; Frameworks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Chart_Mix!$D$2:$D$7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5B-4017-840A-54ADF6DC1169}"/>
            </c:ext>
          </c:extLst>
        </c:ser>
        <c:ser>
          <c:idx val="3"/>
          <c:order val="3"/>
          <c:tx>
            <c:strRef>
              <c:f>Chart_Mix!$E$1</c:f>
              <c:strCache>
                <c:ptCount val="1"/>
                <c:pt idx="0">
                  <c:v>Environmental Impact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Chart_Mix!$A$2:$A$7</c:f>
              <c:strCache>
                <c:ptCount val="6"/>
                <c:pt idx="0">
                  <c:v>Eco-Friendly Search Engines</c:v>
                </c:pt>
                <c:pt idx="1">
                  <c:v>Sustainable AI Models</c:v>
                </c:pt>
                <c:pt idx="2">
                  <c:v>Digital Footprint Calculators</c:v>
                </c:pt>
                <c:pt idx="3">
                  <c:v>Green Hosting &amp; Cloud</c:v>
                </c:pt>
                <c:pt idx="4">
                  <c:v>Developer Tools &amp; Frameworks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Chart_Mix!$E$2:$E$7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5B-4017-840A-54ADF6DC1169}"/>
            </c:ext>
          </c:extLst>
        </c:ser>
        <c:ser>
          <c:idx val="4"/>
          <c:order val="4"/>
          <c:tx>
            <c:strRef>
              <c:f>Chart_Mix!$F$1</c:f>
              <c:strCache>
                <c:ptCount val="1"/>
                <c:pt idx="0">
                  <c:v>Financial Reward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Chart_Mix!$A$2:$A$7</c:f>
              <c:strCache>
                <c:ptCount val="6"/>
                <c:pt idx="0">
                  <c:v>Eco-Friendly Search Engines</c:v>
                </c:pt>
                <c:pt idx="1">
                  <c:v>Sustainable AI Models</c:v>
                </c:pt>
                <c:pt idx="2">
                  <c:v>Digital Footprint Calculators</c:v>
                </c:pt>
                <c:pt idx="3">
                  <c:v>Green Hosting &amp; Cloud</c:v>
                </c:pt>
                <c:pt idx="4">
                  <c:v>Developer Tools &amp; Frameworks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Chart_Mix!$F$2:$F$7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5B-4017-840A-54ADF6DC1169}"/>
            </c:ext>
          </c:extLst>
        </c:ser>
        <c:ser>
          <c:idx val="5"/>
          <c:order val="5"/>
          <c:tx>
            <c:strRef>
              <c:f>Chart_Mix!$G$1</c:f>
              <c:strCache>
                <c:ptCount val="1"/>
                <c:pt idx="0">
                  <c:v>Gamification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Chart_Mix!$A$2:$A$7</c:f>
              <c:strCache>
                <c:ptCount val="6"/>
                <c:pt idx="0">
                  <c:v>Eco-Friendly Search Engines</c:v>
                </c:pt>
                <c:pt idx="1">
                  <c:v>Sustainable AI Models</c:v>
                </c:pt>
                <c:pt idx="2">
                  <c:v>Digital Footprint Calculators</c:v>
                </c:pt>
                <c:pt idx="3">
                  <c:v>Green Hosting &amp; Cloud</c:v>
                </c:pt>
                <c:pt idx="4">
                  <c:v>Developer Tools &amp; Frameworks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Chart_Mix!$G$2:$G$7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5B-4017-840A-54ADF6DC1169}"/>
            </c:ext>
          </c:extLst>
        </c:ser>
        <c:ser>
          <c:idx val="6"/>
          <c:order val="6"/>
          <c:tx>
            <c:strRef>
              <c:f>Chart_Mix!$H$1</c:f>
              <c:strCache>
                <c:ptCount val="1"/>
                <c:pt idx="0">
                  <c:v>Community/Belonging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Chart_Mix!$A$2:$A$7</c:f>
              <c:strCache>
                <c:ptCount val="6"/>
                <c:pt idx="0">
                  <c:v>Eco-Friendly Search Engines</c:v>
                </c:pt>
                <c:pt idx="1">
                  <c:v>Sustainable AI Models</c:v>
                </c:pt>
                <c:pt idx="2">
                  <c:v>Digital Footprint Calculators</c:v>
                </c:pt>
                <c:pt idx="3">
                  <c:v>Green Hosting &amp; Cloud</c:v>
                </c:pt>
                <c:pt idx="4">
                  <c:v>Developer Tools &amp; Frameworks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Chart_Mix!$H$2:$H$7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5B-4017-840A-54ADF6DC1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Proportion of Incentive Types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Which Conventional Tools Have Sustainable Alternatives?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Chart_Replacements!$B$1</c:f>
              <c:strCache>
                <c:ptCount val="1"/>
                <c:pt idx="0">
                  <c:v>Number of Sustainable Alternatives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Chart_Replacements!$A$2:$A$11</c:f>
              <c:strCache>
                <c:ptCount val="10"/>
                <c:pt idx="0">
                  <c:v>Google Search</c:v>
                </c:pt>
                <c:pt idx="1">
                  <c:v>Bing</c:v>
                </c:pt>
                <c:pt idx="2">
                  <c:v>ChatGPT</c:v>
                </c:pt>
                <c:pt idx="3">
                  <c:v>Claude</c:v>
                </c:pt>
                <c:pt idx="4">
                  <c:v>Gemini</c:v>
                </c:pt>
                <c:pt idx="5">
                  <c:v>GoDaddy</c:v>
                </c:pt>
                <c:pt idx="6">
                  <c:v>Bluehost</c:v>
                </c:pt>
                <c:pt idx="7">
                  <c:v>HostGator</c:v>
                </c:pt>
                <c:pt idx="8">
                  <c:v>No direct equivalent</c:v>
                </c:pt>
                <c:pt idx="9">
                  <c:v>ESLint</c:v>
                </c:pt>
              </c:strCache>
            </c:strRef>
          </c:cat>
          <c:val>
            <c:numRef>
              <c:f>Chart_Replacements!$B$2:$B$11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C-4B63-B458-50995AE0BA2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Sustainable Alternatives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Conventional Tool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Tools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Executive_Dashboard!$C$4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Executive_Dashboard!$B$5:$B$10</c:f>
              <c:strCache>
                <c:ptCount val="6"/>
                <c:pt idx="0">
                  <c:v>Developer Tools &amp; Frameworks</c:v>
                </c:pt>
                <c:pt idx="1">
                  <c:v>Eco-Friendly Search Engines</c:v>
                </c:pt>
                <c:pt idx="2">
                  <c:v>Green Hosting &amp; Cloud</c:v>
                </c:pt>
                <c:pt idx="3">
                  <c:v>Digital Footprint Calculators</c:v>
                </c:pt>
                <c:pt idx="4">
                  <c:v>Sustainable AI Models</c:v>
                </c:pt>
                <c:pt idx="5">
                  <c:v>Awareness &amp; Offsetting Tools</c:v>
                </c:pt>
              </c:strCache>
            </c:strRef>
          </c:cat>
          <c:val>
            <c:numRef>
              <c:f>Executive_Dashboard!$C$5:$C$10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7-4C3C-A937-90A986820B0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Incentive Mechanisms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Executive_Dashboard!$C$14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A-4AF3-8707-54DF0EBC698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A-4AF3-8707-54DF0EBC698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6A-4AF3-8707-54DF0EBC698E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6A-4AF3-8707-54DF0EBC698E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l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6A-4AF3-8707-54DF0EBC69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Executive_Dashboard!$B$15:$B$19</c:f>
              <c:strCache>
                <c:ptCount val="5"/>
                <c:pt idx="0">
                  <c:v>Convenience/Efficiency</c:v>
                </c:pt>
                <c:pt idx="1">
                  <c:v>Awareness/Education</c:v>
                </c:pt>
                <c:pt idx="2">
                  <c:v>Ethical Alignment</c:v>
                </c:pt>
                <c:pt idx="3">
                  <c:v>Environmental Impact</c:v>
                </c:pt>
                <c:pt idx="4">
                  <c:v>Financial Reward</c:v>
                </c:pt>
              </c:strCache>
            </c:strRef>
          </c:cat>
          <c:val>
            <c:numRef>
              <c:f>Executive_Dashboard!$C$15:$C$19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15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A-4C67-A585-9FF7E5E5089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Incentive Strategy Complexity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marker>
            <c:symbol val="none"/>
          </c:marker>
          <c:dPt>
            <c:idx val="0"/>
            <c:bubble3D val="0"/>
            <c:spPr>
              <a:ln w="31750" cap="rnd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AB-4DA2-829D-3EC2182293EC}"/>
              </c:ext>
            </c:extLst>
          </c:dPt>
          <c:dPt>
            <c:idx val="1"/>
            <c:bubble3D val="0"/>
            <c:spPr>
              <a:ln w="31750" cap="rnd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AB-4DA2-829D-3EC2182293EC}"/>
              </c:ext>
            </c:extLst>
          </c:dPt>
          <c:dPt>
            <c:idx val="2"/>
            <c:bubble3D val="0"/>
            <c:spPr>
              <a:ln w="31750" cap="rnd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AB-4DA2-829D-3EC2182293EC}"/>
              </c:ext>
            </c:extLst>
          </c:dPt>
          <c:dPt>
            <c:idx val="3"/>
            <c:bubble3D val="0"/>
            <c:spPr>
              <a:ln w="31750" cap="rnd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AB-4DA2-829D-3EC2182293EC}"/>
              </c:ext>
            </c:extLst>
          </c:dPt>
          <c:dPt>
            <c:idx val="4"/>
            <c:bubble3D val="0"/>
            <c:spPr>
              <a:ln w="31750" cap="rnd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AB-4DA2-829D-3EC2182293EC}"/>
              </c:ext>
            </c:extLst>
          </c:dPt>
          <c:dPt>
            <c:idx val="5"/>
            <c:bubble3D val="0"/>
            <c:spPr>
              <a:ln w="31750" cap="rnd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3AB-4DA2-829D-3EC2182293EC}"/>
              </c:ext>
            </c:extLst>
          </c:dPt>
          <c:dPt>
            <c:idx val="6"/>
            <c:bubble3D val="0"/>
            <c:spPr>
              <a:ln w="31750" cap="rnd" cmpd="sng" algn="ctr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3AB-4DA2-829D-3EC2182293EC}"/>
              </c:ext>
            </c:extLst>
          </c:dPt>
          <c:dPt>
            <c:idx val="7"/>
            <c:bubble3D val="0"/>
            <c:spPr>
              <a:ln w="31750" cap="rnd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3AB-4DA2-829D-3EC2182293EC}"/>
              </c:ext>
            </c:extLst>
          </c:dPt>
          <c:dPt>
            <c:idx val="8"/>
            <c:bubble3D val="0"/>
            <c:spPr>
              <a:ln w="31750" cap="rnd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3AB-4DA2-829D-3EC2182293EC}"/>
              </c:ext>
            </c:extLst>
          </c:dPt>
          <c:dPt>
            <c:idx val="9"/>
            <c:bubble3D val="0"/>
            <c:spPr>
              <a:ln w="31750" cap="rnd" cmpd="sng" algn="ctr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3AB-4DA2-829D-3EC2182293EC}"/>
              </c:ext>
            </c:extLst>
          </c:dPt>
          <c:dPt>
            <c:idx val="10"/>
            <c:bubble3D val="0"/>
            <c:spPr>
              <a:ln w="31750" cap="rnd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3AB-4DA2-829D-3EC2182293EC}"/>
              </c:ext>
            </c:extLst>
          </c:dPt>
          <c:dPt>
            <c:idx val="11"/>
            <c:bubble3D val="0"/>
            <c:spPr>
              <a:ln w="31750" cap="rnd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63AB-4DA2-829D-3EC2182293EC}"/>
              </c:ext>
            </c:extLst>
          </c:dPt>
          <c:dPt>
            <c:idx val="12"/>
            <c:bubble3D val="0"/>
            <c:spPr>
              <a:ln w="31750" cap="rnd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63AB-4DA2-829D-3EC2182293EC}"/>
              </c:ext>
            </c:extLst>
          </c:dPt>
          <c:dPt>
            <c:idx val="13"/>
            <c:bubble3D val="0"/>
            <c:spPr>
              <a:ln w="31750" cap="rnd" cmpd="sng" algn="ctr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63AB-4DA2-829D-3EC2182293EC}"/>
              </c:ext>
            </c:extLst>
          </c:dPt>
          <c:dPt>
            <c:idx val="14"/>
            <c:bubble3D val="0"/>
            <c:spPr>
              <a:ln w="31750" cap="rnd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3AB-4DA2-829D-3EC2182293EC}"/>
              </c:ext>
            </c:extLst>
          </c:dPt>
          <c:dPt>
            <c:idx val="15"/>
            <c:bubble3D val="0"/>
            <c:spPr>
              <a:ln w="31750" cap="rnd" cmpd="sng" algn="ctr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3AB-4DA2-829D-3EC2182293EC}"/>
              </c:ext>
            </c:extLst>
          </c:dPt>
          <c:dPt>
            <c:idx val="16"/>
            <c:bubble3D val="0"/>
            <c:spPr>
              <a:ln w="31750" cap="rnd" cmpd="sng" algn="ctr">
                <a:solidFill>
                  <a:schemeClr val="accent4">
                    <a:lumMod val="5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3AB-4DA2-829D-3EC2182293EC}"/>
              </c:ext>
            </c:extLst>
          </c:dPt>
          <c:dPt>
            <c:idx val="17"/>
            <c:bubble3D val="0"/>
            <c:spPr>
              <a:ln w="31750" cap="rnd" cmpd="sng" algn="ctr">
                <a:solidFill>
                  <a:schemeClr val="accent6">
                    <a:lumMod val="5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3AB-4DA2-829D-3EC2182293EC}"/>
              </c:ext>
            </c:extLst>
          </c:dPt>
          <c:dPt>
            <c:idx val="18"/>
            <c:bubble3D val="0"/>
            <c:spPr>
              <a:ln w="31750" cap="rnd" cmpd="sng" algn="ctr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63AB-4DA2-829D-3EC2182293EC}"/>
              </c:ext>
            </c:extLst>
          </c:dPt>
          <c:dPt>
            <c:idx val="19"/>
            <c:bubble3D val="0"/>
            <c:spPr>
              <a:ln w="31750" cap="rnd" cmpd="sng" algn="ctr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63AB-4DA2-829D-3EC2182293EC}"/>
              </c:ext>
            </c:extLst>
          </c:dPt>
          <c:dPt>
            <c:idx val="20"/>
            <c:bubble3D val="0"/>
            <c:spPr>
              <a:ln w="31750" cap="rnd" cmpd="sng" algn="ctr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63AB-4DA2-829D-3EC2182293EC}"/>
              </c:ext>
            </c:extLst>
          </c:dPt>
          <c:dPt>
            <c:idx val="21"/>
            <c:bubble3D val="0"/>
            <c:spPr>
              <a:ln w="31750" cap="rnd" cmpd="sng" algn="ctr">
                <a:solidFill>
                  <a:schemeClr val="accent2">
                    <a:lumMod val="7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3AB-4DA2-829D-3EC2182293EC}"/>
              </c:ext>
            </c:extLst>
          </c:dPt>
          <c:dPt>
            <c:idx val="22"/>
            <c:bubble3D val="0"/>
            <c:spPr>
              <a:ln w="31750" cap="rnd" cmpd="sng" algn="ctr">
                <a:solidFill>
                  <a:schemeClr val="accent4">
                    <a:lumMod val="7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63AB-4DA2-829D-3EC2182293EC}"/>
              </c:ext>
            </c:extLst>
          </c:dPt>
          <c:dPt>
            <c:idx val="23"/>
            <c:bubble3D val="0"/>
            <c:spPr>
              <a:ln w="31750" cap="rnd" cmpd="sng" algn="ctr">
                <a:solidFill>
                  <a:schemeClr val="accent6">
                    <a:lumMod val="7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63AB-4DA2-829D-3EC2182293EC}"/>
              </c:ext>
            </c:extLst>
          </c:dPt>
          <c:dPt>
            <c:idx val="24"/>
            <c:bubble3D val="0"/>
            <c:spPr>
              <a:ln w="31750" cap="rnd" cmpd="sng" algn="ctr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63AB-4DA2-829D-3EC2182293EC}"/>
              </c:ext>
            </c:extLst>
          </c:dPt>
          <c:xVal>
            <c:strRef>
              <c:f>Chart_Complexity!$B$2:$B$26</c:f>
              <c:strCache>
                <c:ptCount val="25"/>
                <c:pt idx="0">
                  <c:v>Ecosia</c:v>
                </c:pt>
                <c:pt idx="1">
                  <c:v>Qwant</c:v>
                </c:pt>
                <c:pt idx="2">
                  <c:v>GOOD Search</c:v>
                </c:pt>
                <c:pt idx="3">
                  <c:v>Ekoru</c:v>
                </c:pt>
                <c:pt idx="4">
                  <c:v>Lilo</c:v>
                </c:pt>
                <c:pt idx="5">
                  <c:v>DeepSeek AI</c:v>
                </c:pt>
                <c:pt idx="6">
                  <c:v>ViroAI / ViroGPT</c:v>
                </c:pt>
                <c:pt idx="7">
                  <c:v>GreenFrame.io</c:v>
                </c:pt>
                <c:pt idx="8">
                  <c:v>Website Carbon Calculator</c:v>
                </c:pt>
                <c:pt idx="9">
                  <c:v>Digital Beacon</c:v>
                </c:pt>
                <c:pt idx="10">
                  <c:v>Ecograder</c:v>
                </c:pt>
                <c:pt idx="11">
                  <c:v>Cloud Carbon Footprint</c:v>
                </c:pt>
                <c:pt idx="12">
                  <c:v>CO2 AI</c:v>
                </c:pt>
                <c:pt idx="13">
                  <c:v>Boavizta Cloud Scanner</c:v>
                </c:pt>
                <c:pt idx="14">
                  <c:v>GreenGeeks</c:v>
                </c:pt>
                <c:pt idx="15">
                  <c:v>DreamHost</c:v>
                </c:pt>
                <c:pt idx="16">
                  <c:v>Carbon Aware SDK</c:v>
                </c:pt>
                <c:pt idx="17">
                  <c:v>CO2.js</c:v>
                </c:pt>
                <c:pt idx="18">
                  <c:v>CodeCarbon</c:v>
                </c:pt>
                <c:pt idx="19">
                  <c:v>Green Metrics Tool</c:v>
                </c:pt>
                <c:pt idx="20">
                  <c:v>Kepler</c:v>
                </c:pt>
                <c:pt idx="21">
                  <c:v>EcoCode</c:v>
                </c:pt>
                <c:pt idx="22">
                  <c:v>ec0lint</c:v>
                </c:pt>
                <c:pt idx="23">
                  <c:v>Green Software Foundation</c:v>
                </c:pt>
                <c:pt idx="24">
                  <c:v>TreeClicks</c:v>
                </c:pt>
              </c:strCache>
            </c:strRef>
          </c:xVal>
          <c:yVal>
            <c:numRef>
              <c:f>Chart_Complexity!$D$2:$D$26</c:f>
              <c:numCache>
                <c:formatCode>General</c:formatCode>
                <c:ptCount val="2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BA-44A2-8865-376A2D62C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Tool Index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Incentive Types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1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3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47626</xdr:colOff>
      <xdr:row>7</xdr:row>
      <xdr:rowOff>90487</xdr:rowOff>
    </xdr:from>
    <xdr:ext cx="8229600" cy="45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66676</xdr:colOff>
      <xdr:row>8</xdr:row>
      <xdr:rowOff>52388</xdr:rowOff>
    </xdr:from>
    <xdr:ext cx="8229600" cy="45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7</xdr:row>
      <xdr:rowOff>76200</xdr:rowOff>
    </xdr:from>
    <xdr:ext cx="8229600" cy="45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42863</xdr:colOff>
      <xdr:row>11</xdr:row>
      <xdr:rowOff>95250</xdr:rowOff>
    </xdr:from>
    <xdr:ext cx="8229600" cy="45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56504</xdr:colOff>
      <xdr:row>6</xdr:row>
      <xdr:rowOff>72649</xdr:rowOff>
    </xdr:from>
    <xdr:ext cx="5486400" cy="45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7688</xdr:colOff>
      <xdr:row>6</xdr:row>
      <xdr:rowOff>59028</xdr:rowOff>
    </xdr:from>
    <xdr:ext cx="5486400" cy="457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</xdr:colOff>
      <xdr:row>26</xdr:row>
      <xdr:rowOff>109538</xdr:rowOff>
    </xdr:from>
    <xdr:ext cx="8229600" cy="45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FA" displayName="tblEFA" ref="A1:H26" totalsRowShown="0" headerRowDxfId="65" dataDxfId="64">
  <autoFilter ref="A1:H26" xr:uid="{00000000-0009-0000-0100-000001000000}"/>
  <tableColumns count="8">
    <tableColumn id="1" xr3:uid="{00000000-0010-0000-0000-000001000000}" name="#" dataDxfId="63">
      <calculatedColumnFormula>ROW()-1</calculatedColumnFormula>
    </tableColumn>
    <tableColumn id="2" xr3:uid="{00000000-0010-0000-0000-000002000000}" name="Title" dataDxfId="62"/>
    <tableColumn id="3" xr3:uid="{00000000-0010-0000-0000-000003000000}" name="Access Link" dataDxfId="61" dataCellStyle="Hyperlink"/>
    <tableColumn id="4" xr3:uid="{00000000-0010-0000-0000-000004000000}" name="Short Description" dataDxfId="60"/>
    <tableColumn id="5" xr3:uid="{00000000-0010-0000-0000-000005000000}" name="Possible Replacements" dataDxfId="59"/>
    <tableColumn id="6" xr3:uid="{00000000-0010-0000-0000-000006000000}" name="Category" dataDxfId="58"/>
    <tableColumn id="7" xr3:uid="{00000000-0010-0000-0000-000007000000}" name="User Incentive / Reward Mechanism" dataDxfId="57"/>
    <tableColumn id="8" xr3:uid="{00000000-0010-0000-0000-000008000000}" name="Incentive Type (Category)" dataDxfId="5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5FBD55-6204-4383-8520-46232EF04C9A}" name="Table2" displayName="Table2" ref="A1:B7" totalsRowShown="0" headerRowDxfId="55" dataDxfId="54">
  <autoFilter ref="A1:B7" xr:uid="{8B5FBD55-6204-4383-8520-46232EF04C9A}"/>
  <tableColumns count="2">
    <tableColumn id="1" xr3:uid="{843931AF-BD2C-4694-9937-957E4EB58E17}" name="Category" dataDxfId="53"/>
    <tableColumn id="2" xr3:uid="{D49BB407-3143-493E-9713-ECB277B541B1}" name="Tool Count" dataDxfId="52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114717-4E2D-40A0-8300-466F2128F9D8}" name="Table3" displayName="Table3" ref="A1:B8" totalsRowShown="0" headerRowDxfId="51" dataDxfId="50">
  <autoFilter ref="A1:B8" xr:uid="{CA114717-4E2D-40A0-8300-466F2128F9D8}"/>
  <tableColumns count="2">
    <tableColumn id="1" xr3:uid="{D7E97BC2-241D-4B1E-8EC0-F92B07AF161A}" name="Incentive Type" dataDxfId="49"/>
    <tableColumn id="2" xr3:uid="{AF446A44-FD47-4022-8CD4-4F5D98BA9BA4}" name="Count" dataDxfId="48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1FE79E-5FF2-4C6F-98C7-F21A8A43017F}" name="Table4" displayName="Table4" ref="A1:H7" totalsRowShown="0" headerRowDxfId="47" dataDxfId="46">
  <autoFilter ref="A1:H7" xr:uid="{981FE79E-5FF2-4C6F-98C7-F21A8A43017F}"/>
  <tableColumns count="8">
    <tableColumn id="1" xr3:uid="{FACC21E8-25EE-4CB6-AB7D-A5A49BF19021}" name="Category" dataDxfId="45"/>
    <tableColumn id="2" xr3:uid="{A22C66A4-66D0-4A0F-AF6F-0FD437E25A10}" name="Convenience/Efficiency" dataDxfId="44"/>
    <tableColumn id="3" xr3:uid="{48BDEB5D-6521-46E6-A5DD-7CDF007BE629}" name="Awareness/Education" dataDxfId="43"/>
    <tableColumn id="4" xr3:uid="{E2735251-E92E-400C-BEE8-D18586A37846}" name="Ethical Alignment" dataDxfId="42"/>
    <tableColumn id="5" xr3:uid="{5751D74B-1736-45EF-B44D-BC483B069F6C}" name="Environmental Impact" dataDxfId="41"/>
    <tableColumn id="6" xr3:uid="{E64D9DFA-78E1-4D2D-8FD6-9552FD401441}" name="Financial Reward" dataDxfId="40"/>
    <tableColumn id="7" xr3:uid="{97860ED1-0B8F-44DE-8290-7428955C61A1}" name="Gamification" dataDxfId="39"/>
    <tableColumn id="8" xr3:uid="{2E69959E-367C-43F7-B557-B23ECDAB54B2}" name="Community/Belonging" dataDxfId="38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21ACFE-FA19-48FA-83FB-9A57757038E4}" name="Table5" displayName="Table5" ref="A1:H7" totalsRowShown="0" headerRowDxfId="37" dataDxfId="35" headerRowBorderDxfId="36" tableBorderDxfId="34" totalsRowBorderDxfId="33">
  <autoFilter ref="A1:H7" xr:uid="{6E21ACFE-FA19-48FA-83FB-9A57757038E4}"/>
  <tableColumns count="8">
    <tableColumn id="1" xr3:uid="{3808BCE6-AF43-449C-80A3-C94E5D9E001E}" name="Category" dataDxfId="32"/>
    <tableColumn id="2" xr3:uid="{11AEAA2A-ACAE-4C39-9319-43307D449159}" name="Convenience/Efficiency" dataDxfId="31"/>
    <tableColumn id="3" xr3:uid="{9587349F-DAD7-4B16-B122-F3E917CB25EF}" name="Awareness/Education" dataDxfId="30"/>
    <tableColumn id="4" xr3:uid="{8D3A4A42-3AB2-4D5E-8213-AF022DF500FB}" name="Ethical Alignment" dataDxfId="29"/>
    <tableColumn id="5" xr3:uid="{A7672045-C2AC-4301-BED6-6CC035DC7679}" name="Environmental Impact" dataDxfId="28"/>
    <tableColumn id="6" xr3:uid="{6B71988C-E044-4043-A3F6-3902583DB17E}" name="Financial Reward" dataDxfId="27"/>
    <tableColumn id="7" xr3:uid="{552C4B68-48D3-4804-B0FF-8CCAB149C538}" name="Gamification" dataDxfId="26"/>
    <tableColumn id="8" xr3:uid="{4B765E4A-E0FE-4642-9B13-48F366D51AAE}" name="Community/Belonging" dataDxfId="25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644B03-229C-42A3-8741-02E034C86EFD}" name="Table6" displayName="Table6" ref="A1:B11" totalsRowShown="0" headerRowDxfId="24" dataDxfId="23">
  <autoFilter ref="A1:B11" xr:uid="{19644B03-229C-42A3-8741-02E034C86EFD}"/>
  <tableColumns count="2">
    <tableColumn id="1" xr3:uid="{2340609B-4640-4611-80E3-4051F577174B}" name="Conventional Tool" dataDxfId="22"/>
    <tableColumn id="2" xr3:uid="{FD71B767-BEF0-4E4B-96C2-CCF6C643E322}" name="Number of Sustainable Alternatives" dataDxfId="21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59C812-5841-4F0A-BD81-C13BEF82D28C}" name="Table7" displayName="Table7" ref="B4:C10" totalsRowShown="0" headerRowDxfId="20" dataDxfId="19">
  <autoFilter ref="B4:C10" xr:uid="{D259C812-5841-4F0A-BD81-C13BEF82D28C}"/>
  <tableColumns count="2">
    <tableColumn id="1" xr3:uid="{85FE6854-8D2A-4BA0-8734-2839549CD6E5}" name="Category" dataDxfId="18"/>
    <tableColumn id="2" xr3:uid="{DD135290-A407-4B81-BA8E-F5B768CC13F1}" name="Count" dataDxfId="17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C5A436-3FC5-4A96-9E75-6285FE125CB1}" name="Table8" displayName="Table8" ref="B14:C19" totalsRowShown="0" headerRowDxfId="16" dataDxfId="15">
  <autoFilter ref="B14:C19" xr:uid="{B2C5A436-3FC5-4A96-9E75-6285FE125CB1}"/>
  <tableColumns count="2">
    <tableColumn id="1" xr3:uid="{7336DD25-6069-4CD0-BFF4-A7ED9E417B88}" name="Incentive Type" dataDxfId="14"/>
    <tableColumn id="2" xr3:uid="{323F9A25-C58F-461F-9E43-CD149DDC968D}" name="Count" dataDxfId="13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7D433A5-0977-400A-BD0E-105DAF26C46E}" name="Table10" displayName="Table10" ref="A1:D26" totalsRowShown="0" headerRowDxfId="12" dataDxfId="11">
  <autoFilter ref="A1:D26" xr:uid="{17D433A5-0977-400A-BD0E-105DAF26C46E}"/>
  <tableColumns count="4">
    <tableColumn id="1" xr3:uid="{5DED2460-13C1-411C-8455-915F5AC7E44B}" name="Tool Index" dataDxfId="10"/>
    <tableColumn id="2" xr3:uid="{9393A197-9EFA-450E-8C2B-FA230AD0A757}" name="Tool Name" dataDxfId="9"/>
    <tableColumn id="3" xr3:uid="{BDA3F3BB-82B5-46A4-B241-E7A9ABC3E3FB}" name="Category" dataDxfId="8"/>
    <tableColumn id="4" xr3:uid="{A84E7ED7-B785-4B28-A304-FF20A224E03A}" name="Number of Incentives" dataDxfId="7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17EFD2-1409-4B61-B288-4894F527F9CE}" name="Table9" displayName="Table9" ref="A3:E28" totalsRowShown="0" headerRowDxfId="6" dataDxfId="5">
  <autoFilter ref="A3:E28" xr:uid="{00000000-0009-0000-0000-000007000000}"/>
  <tableColumns count="5">
    <tableColumn id="1" xr3:uid="{C930CF97-7107-4427-BFFE-60E7D46DBA9A}" name="#" dataDxfId="4"/>
    <tableColumn id="2" xr3:uid="{E0DD2CEC-7246-40E4-A97D-DD5467EE2317}" name="Title" dataDxfId="3"/>
    <tableColumn id="3" xr3:uid="{B5174D63-F509-445D-9327-76591572F2FF}" name="Category" dataDxfId="2"/>
    <tableColumn id="4" xr3:uid="{51819C38-205B-4D3B-A270-8EDE2391ECAC}" name="Incentive Count" dataDxfId="1"/>
    <tableColumn id="5" xr3:uid="{6455773F-E4DC-42EE-8D62-135FDB0DD5FC}" name="Incentive Type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eenframe.io/" TargetMode="External"/><Relationship Id="rId13" Type="http://schemas.openxmlformats.org/officeDocument/2006/relationships/hyperlink" Target="https://www.co2ai.com/" TargetMode="External"/><Relationship Id="rId18" Type="http://schemas.openxmlformats.org/officeDocument/2006/relationships/hyperlink" Target="https://www.thegreenwebfoundation.org/co2-js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www.good-search.org/" TargetMode="External"/><Relationship Id="rId21" Type="http://schemas.openxmlformats.org/officeDocument/2006/relationships/hyperlink" Target="https://github.com/sustainable-computing-io/kepler" TargetMode="External"/><Relationship Id="rId7" Type="http://schemas.openxmlformats.org/officeDocument/2006/relationships/hyperlink" Target="https://www.viro.app/" TargetMode="External"/><Relationship Id="rId12" Type="http://schemas.openxmlformats.org/officeDocument/2006/relationships/hyperlink" Target="https://www.cloudcarbonfootprint.org/" TargetMode="External"/><Relationship Id="rId17" Type="http://schemas.openxmlformats.org/officeDocument/2006/relationships/hyperlink" Target="https://github.com/Green-Software-Foundation/carbon-aware-sdk" TargetMode="External"/><Relationship Id="rId25" Type="http://schemas.openxmlformats.org/officeDocument/2006/relationships/hyperlink" Target="https://www.treeclicks.com/" TargetMode="External"/><Relationship Id="rId2" Type="http://schemas.openxmlformats.org/officeDocument/2006/relationships/hyperlink" Target="https://www.qwant.com/" TargetMode="External"/><Relationship Id="rId16" Type="http://schemas.openxmlformats.org/officeDocument/2006/relationships/hyperlink" Target="https://www.dreamhost.com/" TargetMode="External"/><Relationship Id="rId20" Type="http://schemas.openxmlformats.org/officeDocument/2006/relationships/hyperlink" Target="https://www.green-coding.io/" TargetMode="External"/><Relationship Id="rId1" Type="http://schemas.openxmlformats.org/officeDocument/2006/relationships/hyperlink" Target="https://www.ecosia.org/" TargetMode="External"/><Relationship Id="rId6" Type="http://schemas.openxmlformats.org/officeDocument/2006/relationships/hyperlink" Target="https://www.deepseek.com/" TargetMode="External"/><Relationship Id="rId11" Type="http://schemas.openxmlformats.org/officeDocument/2006/relationships/hyperlink" Target="https://www.ecograder.com/" TargetMode="External"/><Relationship Id="rId24" Type="http://schemas.openxmlformats.org/officeDocument/2006/relationships/hyperlink" Target="https://www.greensoftware.foundation/" TargetMode="External"/><Relationship Id="rId5" Type="http://schemas.openxmlformats.org/officeDocument/2006/relationships/hyperlink" Target="https://www.lilo.org/" TargetMode="External"/><Relationship Id="rId15" Type="http://schemas.openxmlformats.org/officeDocument/2006/relationships/hyperlink" Target="https://www.greengeeks.com/" TargetMode="External"/><Relationship Id="rId23" Type="http://schemas.openxmlformats.org/officeDocument/2006/relationships/hyperlink" Target="https://www.ec0lint.com/" TargetMode="External"/><Relationship Id="rId10" Type="http://schemas.openxmlformats.org/officeDocument/2006/relationships/hyperlink" Target="https://www.digitalbeacon.co/" TargetMode="External"/><Relationship Id="rId19" Type="http://schemas.openxmlformats.org/officeDocument/2006/relationships/hyperlink" Target="https://www.codecarbon.io/" TargetMode="External"/><Relationship Id="rId4" Type="http://schemas.openxmlformats.org/officeDocument/2006/relationships/hyperlink" Target="https://www.ekoru.org/" TargetMode="External"/><Relationship Id="rId9" Type="http://schemas.openxmlformats.org/officeDocument/2006/relationships/hyperlink" Target="https://www.websitecarbon.com/" TargetMode="External"/><Relationship Id="rId14" Type="http://schemas.openxmlformats.org/officeDocument/2006/relationships/hyperlink" Target="https://github.com/Boavizta/cloud-scanner" TargetMode="External"/><Relationship Id="rId22" Type="http://schemas.openxmlformats.org/officeDocument/2006/relationships/hyperlink" Target="https://github.com/green-code-initiative/ecoCod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zoomScale="89" workbookViewId="0">
      <selection activeCell="F5" sqref="F5"/>
    </sheetView>
  </sheetViews>
  <sheetFormatPr defaultColWidth="9.01171875" defaultRowHeight="15" x14ac:dyDescent="0.2"/>
  <cols>
    <col min="1" max="1" width="4.4375" customWidth="1"/>
    <col min="2" max="2" width="20.04296875" customWidth="1"/>
    <col min="3" max="3" width="13.71875" customWidth="1"/>
    <col min="4" max="4" width="37.80078125" customWidth="1"/>
    <col min="5" max="5" width="29.45703125" bestFit="1" customWidth="1"/>
    <col min="6" max="6" width="25.828125" customWidth="1"/>
    <col min="7" max="7" width="37.80078125" customWidth="1"/>
    <col min="8" max="8" width="25.828125" customWidth="1"/>
    <col min="9" max="16384" width="9.01171875" style="9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85.5" customHeight="1" x14ac:dyDescent="0.2">
      <c r="A2" s="1">
        <f t="shared" ref="A2:A26" si="0">ROW()-1</f>
        <v>1</v>
      </c>
      <c r="B2" s="2" t="s">
        <v>8</v>
      </c>
      <c r="C2" s="4" t="s">
        <v>9</v>
      </c>
      <c r="D2" s="5" t="s">
        <v>10</v>
      </c>
      <c r="E2" s="1" t="s">
        <v>11</v>
      </c>
      <c r="F2" s="1" t="s">
        <v>12</v>
      </c>
      <c r="G2" s="6" t="s">
        <v>13</v>
      </c>
      <c r="H2" s="1" t="s">
        <v>14</v>
      </c>
    </row>
    <row r="3" spans="1:8" ht="71.25" customHeight="1" x14ac:dyDescent="0.2">
      <c r="A3" s="1">
        <f t="shared" si="0"/>
        <v>2</v>
      </c>
      <c r="B3" s="2" t="s">
        <v>15</v>
      </c>
      <c r="C3" s="4" t="s">
        <v>16</v>
      </c>
      <c r="D3" s="5" t="s">
        <v>17</v>
      </c>
      <c r="E3" s="1" t="s">
        <v>18</v>
      </c>
      <c r="F3" s="1" t="s">
        <v>12</v>
      </c>
      <c r="G3" s="6" t="s">
        <v>19</v>
      </c>
      <c r="H3" s="1" t="s">
        <v>20</v>
      </c>
    </row>
    <row r="4" spans="1:8" ht="71.25" customHeight="1" x14ac:dyDescent="0.2">
      <c r="A4" s="1">
        <f t="shared" si="0"/>
        <v>3</v>
      </c>
      <c r="B4" s="2" t="s">
        <v>21</v>
      </c>
      <c r="C4" s="4" t="s">
        <v>22</v>
      </c>
      <c r="D4" s="5" t="s">
        <v>23</v>
      </c>
      <c r="E4" s="1" t="s">
        <v>24</v>
      </c>
      <c r="F4" s="1" t="s">
        <v>12</v>
      </c>
      <c r="G4" s="6" t="s">
        <v>25</v>
      </c>
      <c r="H4" s="1" t="s">
        <v>26</v>
      </c>
    </row>
    <row r="5" spans="1:8" ht="71.25" customHeight="1" x14ac:dyDescent="0.2">
      <c r="A5" s="1">
        <f t="shared" si="0"/>
        <v>4</v>
      </c>
      <c r="B5" s="2" t="s">
        <v>27</v>
      </c>
      <c r="C5" s="4" t="s">
        <v>28</v>
      </c>
      <c r="D5" s="5" t="s">
        <v>29</v>
      </c>
      <c r="E5" s="1" t="s">
        <v>24</v>
      </c>
      <c r="F5" s="1" t="s">
        <v>12</v>
      </c>
      <c r="G5" s="6" t="s">
        <v>30</v>
      </c>
      <c r="H5" s="1" t="s">
        <v>31</v>
      </c>
    </row>
    <row r="6" spans="1:8" ht="85.5" customHeight="1" x14ac:dyDescent="0.2">
      <c r="A6" s="1">
        <f t="shared" si="0"/>
        <v>5</v>
      </c>
      <c r="B6" s="2" t="s">
        <v>32</v>
      </c>
      <c r="C6" s="4" t="s">
        <v>33</v>
      </c>
      <c r="D6" s="5" t="s">
        <v>34</v>
      </c>
      <c r="E6" s="1" t="s">
        <v>24</v>
      </c>
      <c r="F6" s="1" t="s">
        <v>12</v>
      </c>
      <c r="G6" s="6" t="s">
        <v>35</v>
      </c>
      <c r="H6" s="1" t="s">
        <v>36</v>
      </c>
    </row>
    <row r="7" spans="1:8" ht="85.5" customHeight="1" x14ac:dyDescent="0.2">
      <c r="A7" s="1">
        <f t="shared" si="0"/>
        <v>6</v>
      </c>
      <c r="B7" s="2" t="s">
        <v>37</v>
      </c>
      <c r="C7" s="4" t="s">
        <v>38</v>
      </c>
      <c r="D7" s="5" t="s">
        <v>39</v>
      </c>
      <c r="E7" s="1" t="s">
        <v>40</v>
      </c>
      <c r="F7" s="1" t="s">
        <v>41</v>
      </c>
      <c r="G7" s="6" t="s">
        <v>42</v>
      </c>
      <c r="H7" s="1" t="s">
        <v>43</v>
      </c>
    </row>
    <row r="8" spans="1:8" ht="71.25" customHeight="1" x14ac:dyDescent="0.2">
      <c r="A8" s="1">
        <f t="shared" si="0"/>
        <v>7</v>
      </c>
      <c r="B8" s="2" t="s">
        <v>44</v>
      </c>
      <c r="C8" s="4" t="s">
        <v>45</v>
      </c>
      <c r="D8" s="5" t="s">
        <v>46</v>
      </c>
      <c r="E8" s="1" t="s">
        <v>47</v>
      </c>
      <c r="F8" s="1" t="s">
        <v>41</v>
      </c>
      <c r="G8" s="6" t="s">
        <v>48</v>
      </c>
      <c r="H8" s="1" t="s">
        <v>49</v>
      </c>
    </row>
    <row r="9" spans="1:8" ht="85.5" customHeight="1" x14ac:dyDescent="0.2">
      <c r="A9" s="1">
        <f t="shared" si="0"/>
        <v>8</v>
      </c>
      <c r="B9" s="2" t="s">
        <v>50</v>
      </c>
      <c r="C9" s="4" t="s">
        <v>51</v>
      </c>
      <c r="D9" s="5" t="s">
        <v>52</v>
      </c>
      <c r="E9" s="1" t="s">
        <v>53</v>
      </c>
      <c r="F9" s="1" t="s">
        <v>54</v>
      </c>
      <c r="G9" s="6" t="s">
        <v>55</v>
      </c>
      <c r="H9" s="1" t="s">
        <v>56</v>
      </c>
    </row>
    <row r="10" spans="1:8" ht="85.5" customHeight="1" x14ac:dyDescent="0.2">
      <c r="A10" s="1">
        <f t="shared" si="0"/>
        <v>9</v>
      </c>
      <c r="B10" s="2" t="s">
        <v>57</v>
      </c>
      <c r="C10" s="4" t="s">
        <v>58</v>
      </c>
      <c r="D10" s="5" t="s">
        <v>59</v>
      </c>
      <c r="E10" s="1" t="s">
        <v>60</v>
      </c>
      <c r="F10" s="1" t="s">
        <v>54</v>
      </c>
      <c r="G10" s="6" t="s">
        <v>61</v>
      </c>
      <c r="H10" s="1" t="s">
        <v>62</v>
      </c>
    </row>
    <row r="11" spans="1:8" ht="85.5" customHeight="1" x14ac:dyDescent="0.2">
      <c r="A11" s="1">
        <f t="shared" si="0"/>
        <v>10</v>
      </c>
      <c r="B11" s="2" t="s">
        <v>63</v>
      </c>
      <c r="C11" s="4" t="s">
        <v>64</v>
      </c>
      <c r="D11" s="5" t="s">
        <v>65</v>
      </c>
      <c r="E11" s="1" t="s">
        <v>66</v>
      </c>
      <c r="F11" s="1" t="s">
        <v>54</v>
      </c>
      <c r="G11" s="6" t="s">
        <v>67</v>
      </c>
      <c r="H11" s="1" t="s">
        <v>68</v>
      </c>
    </row>
    <row r="12" spans="1:8" ht="85.5" customHeight="1" x14ac:dyDescent="0.2">
      <c r="A12" s="1">
        <f t="shared" si="0"/>
        <v>11</v>
      </c>
      <c r="B12" s="2" t="s">
        <v>69</v>
      </c>
      <c r="C12" s="4" t="s">
        <v>70</v>
      </c>
      <c r="D12" s="5" t="s">
        <v>71</v>
      </c>
      <c r="E12" s="1" t="s">
        <v>72</v>
      </c>
      <c r="F12" s="1" t="s">
        <v>54</v>
      </c>
      <c r="G12" s="6" t="s">
        <v>73</v>
      </c>
      <c r="H12" s="1" t="s">
        <v>74</v>
      </c>
    </row>
    <row r="13" spans="1:8" ht="85.5" customHeight="1" x14ac:dyDescent="0.2">
      <c r="A13" s="1">
        <f t="shared" si="0"/>
        <v>12</v>
      </c>
      <c r="B13" s="2" t="s">
        <v>75</v>
      </c>
      <c r="C13" s="4" t="s">
        <v>76</v>
      </c>
      <c r="D13" s="5" t="s">
        <v>77</v>
      </c>
      <c r="E13" s="1" t="s">
        <v>78</v>
      </c>
      <c r="F13" s="1" t="s">
        <v>79</v>
      </c>
      <c r="G13" s="6" t="s">
        <v>80</v>
      </c>
      <c r="H13" s="1" t="s">
        <v>81</v>
      </c>
    </row>
    <row r="14" spans="1:8" ht="85.5" customHeight="1" x14ac:dyDescent="0.2">
      <c r="A14" s="1">
        <f t="shared" si="0"/>
        <v>13</v>
      </c>
      <c r="B14" s="2" t="s">
        <v>82</v>
      </c>
      <c r="C14" s="4" t="s">
        <v>83</v>
      </c>
      <c r="D14" s="5" t="s">
        <v>84</v>
      </c>
      <c r="E14" s="1" t="s">
        <v>85</v>
      </c>
      <c r="F14" s="1" t="s">
        <v>79</v>
      </c>
      <c r="G14" s="6" t="s">
        <v>86</v>
      </c>
      <c r="H14" s="1" t="s">
        <v>87</v>
      </c>
    </row>
    <row r="15" spans="1:8" ht="71.25" customHeight="1" x14ac:dyDescent="0.2">
      <c r="A15" s="1">
        <f t="shared" si="0"/>
        <v>14</v>
      </c>
      <c r="B15" s="2" t="s">
        <v>88</v>
      </c>
      <c r="C15" s="4" t="s">
        <v>89</v>
      </c>
      <c r="D15" s="5" t="s">
        <v>90</v>
      </c>
      <c r="E15" s="1" t="s">
        <v>91</v>
      </c>
      <c r="F15" s="1" t="s">
        <v>79</v>
      </c>
      <c r="G15" s="6" t="s">
        <v>92</v>
      </c>
      <c r="H15" s="1" t="s">
        <v>93</v>
      </c>
    </row>
    <row r="16" spans="1:8" ht="85.5" customHeight="1" x14ac:dyDescent="0.2">
      <c r="A16" s="1">
        <f t="shared" si="0"/>
        <v>15</v>
      </c>
      <c r="B16" s="2" t="s">
        <v>94</v>
      </c>
      <c r="C16" s="4" t="s">
        <v>95</v>
      </c>
      <c r="D16" s="5" t="s">
        <v>96</v>
      </c>
      <c r="E16" s="1" t="s">
        <v>97</v>
      </c>
      <c r="F16" s="1" t="s">
        <v>79</v>
      </c>
      <c r="G16" s="6" t="s">
        <v>98</v>
      </c>
      <c r="H16" s="1" t="s">
        <v>99</v>
      </c>
    </row>
    <row r="17" spans="1:8" ht="71.25" customHeight="1" x14ac:dyDescent="0.2">
      <c r="A17" s="1">
        <f t="shared" si="0"/>
        <v>16</v>
      </c>
      <c r="B17" s="2" t="s">
        <v>100</v>
      </c>
      <c r="C17" s="4" t="s">
        <v>101</v>
      </c>
      <c r="D17" s="5" t="s">
        <v>102</v>
      </c>
      <c r="E17" s="1" t="s">
        <v>103</v>
      </c>
      <c r="F17" s="1" t="s">
        <v>79</v>
      </c>
      <c r="G17" s="6" t="s">
        <v>104</v>
      </c>
      <c r="H17" s="1" t="s">
        <v>105</v>
      </c>
    </row>
    <row r="18" spans="1:8" ht="85.5" customHeight="1" x14ac:dyDescent="0.2">
      <c r="A18" s="1">
        <f t="shared" si="0"/>
        <v>17</v>
      </c>
      <c r="B18" s="2" t="s">
        <v>106</v>
      </c>
      <c r="C18" s="4" t="s">
        <v>107</v>
      </c>
      <c r="D18" s="5" t="s">
        <v>108</v>
      </c>
      <c r="E18" s="1" t="s">
        <v>109</v>
      </c>
      <c r="F18" s="1" t="s">
        <v>110</v>
      </c>
      <c r="G18" s="6" t="s">
        <v>111</v>
      </c>
      <c r="H18" s="1" t="s">
        <v>112</v>
      </c>
    </row>
    <row r="19" spans="1:8" ht="85.5" customHeight="1" x14ac:dyDescent="0.2">
      <c r="A19" s="1">
        <f t="shared" si="0"/>
        <v>18</v>
      </c>
      <c r="B19" s="2" t="s">
        <v>113</v>
      </c>
      <c r="C19" s="4" t="s">
        <v>114</v>
      </c>
      <c r="D19" s="5" t="s">
        <v>115</v>
      </c>
      <c r="E19" s="1" t="s">
        <v>116</v>
      </c>
      <c r="F19" s="1" t="s">
        <v>110</v>
      </c>
      <c r="G19" s="6" t="s">
        <v>117</v>
      </c>
      <c r="H19" s="1" t="s">
        <v>118</v>
      </c>
    </row>
    <row r="20" spans="1:8" ht="71.25" customHeight="1" x14ac:dyDescent="0.2">
      <c r="A20" s="1">
        <f t="shared" si="0"/>
        <v>19</v>
      </c>
      <c r="B20" s="2" t="s">
        <v>119</v>
      </c>
      <c r="C20" s="4" t="s">
        <v>120</v>
      </c>
      <c r="D20" s="5" t="s">
        <v>121</v>
      </c>
      <c r="E20" s="1" t="s">
        <v>122</v>
      </c>
      <c r="F20" s="1" t="s">
        <v>110</v>
      </c>
      <c r="G20" s="6" t="s">
        <v>123</v>
      </c>
      <c r="H20" s="1" t="s">
        <v>118</v>
      </c>
    </row>
    <row r="21" spans="1:8" ht="85.5" customHeight="1" x14ac:dyDescent="0.2">
      <c r="A21" s="1">
        <f t="shared" si="0"/>
        <v>20</v>
      </c>
      <c r="B21" s="2" t="s">
        <v>124</v>
      </c>
      <c r="C21" s="4" t="s">
        <v>125</v>
      </c>
      <c r="D21" s="5" t="s">
        <v>126</v>
      </c>
      <c r="E21" s="1" t="s">
        <v>127</v>
      </c>
      <c r="F21" s="1" t="s">
        <v>110</v>
      </c>
      <c r="G21" s="6" t="s">
        <v>128</v>
      </c>
      <c r="H21" s="1" t="s">
        <v>129</v>
      </c>
    </row>
    <row r="22" spans="1:8" ht="85.5" customHeight="1" x14ac:dyDescent="0.2">
      <c r="A22" s="1">
        <f t="shared" si="0"/>
        <v>21</v>
      </c>
      <c r="B22" s="2" t="s">
        <v>130</v>
      </c>
      <c r="C22" s="4" t="s">
        <v>131</v>
      </c>
      <c r="D22" s="5" t="s">
        <v>132</v>
      </c>
      <c r="E22" s="1" t="s">
        <v>133</v>
      </c>
      <c r="F22" s="1" t="s">
        <v>110</v>
      </c>
      <c r="G22" s="6" t="s">
        <v>134</v>
      </c>
      <c r="H22" s="1" t="s">
        <v>118</v>
      </c>
    </row>
    <row r="23" spans="1:8" ht="85.5" customHeight="1" x14ac:dyDescent="0.2">
      <c r="A23" s="1">
        <f t="shared" si="0"/>
        <v>22</v>
      </c>
      <c r="B23" s="2" t="s">
        <v>135</v>
      </c>
      <c r="C23" s="4" t="s">
        <v>136</v>
      </c>
      <c r="D23" s="5" t="s">
        <v>137</v>
      </c>
      <c r="E23" s="1" t="s">
        <v>138</v>
      </c>
      <c r="F23" s="1" t="s">
        <v>110</v>
      </c>
      <c r="G23" s="6" t="s">
        <v>139</v>
      </c>
      <c r="H23" s="1" t="s">
        <v>140</v>
      </c>
    </row>
    <row r="24" spans="1:8" ht="85.5" customHeight="1" x14ac:dyDescent="0.2">
      <c r="A24" s="1">
        <f t="shared" si="0"/>
        <v>23</v>
      </c>
      <c r="B24" s="2" t="s">
        <v>141</v>
      </c>
      <c r="C24" s="4" t="s">
        <v>142</v>
      </c>
      <c r="D24" s="5" t="s">
        <v>143</v>
      </c>
      <c r="E24" s="1" t="s">
        <v>144</v>
      </c>
      <c r="F24" s="1" t="s">
        <v>110</v>
      </c>
      <c r="G24" s="6" t="s">
        <v>145</v>
      </c>
      <c r="H24" s="1" t="s">
        <v>146</v>
      </c>
    </row>
    <row r="25" spans="1:8" ht="85.5" customHeight="1" x14ac:dyDescent="0.2">
      <c r="A25" s="1">
        <f t="shared" si="0"/>
        <v>24</v>
      </c>
      <c r="B25" s="2" t="s">
        <v>147</v>
      </c>
      <c r="C25" s="4" t="s">
        <v>148</v>
      </c>
      <c r="D25" s="5" t="s">
        <v>149</v>
      </c>
      <c r="E25" s="1" t="s">
        <v>116</v>
      </c>
      <c r="F25" s="1" t="s">
        <v>110</v>
      </c>
      <c r="G25" s="6" t="s">
        <v>150</v>
      </c>
      <c r="H25" s="1" t="s">
        <v>151</v>
      </c>
    </row>
    <row r="26" spans="1:8" ht="85.5" customHeight="1" x14ac:dyDescent="0.2">
      <c r="A26" s="1">
        <f t="shared" si="0"/>
        <v>25</v>
      </c>
      <c r="B26" s="2" t="s">
        <v>152</v>
      </c>
      <c r="C26" s="4" t="s">
        <v>153</v>
      </c>
      <c r="D26" s="5" t="s">
        <v>154</v>
      </c>
      <c r="E26" s="1" t="s">
        <v>155</v>
      </c>
      <c r="F26" s="1" t="s">
        <v>156</v>
      </c>
      <c r="G26" s="6" t="s">
        <v>157</v>
      </c>
      <c r="H26" s="1" t="s">
        <v>158</v>
      </c>
    </row>
    <row r="27" spans="1:8" x14ac:dyDescent="0.2">
      <c r="A27" s="3"/>
    </row>
  </sheetData>
  <hyperlinks>
    <hyperlink ref="C2" r:id="rId1" display="https://www.ecosia.org/" xr:uid="{00000000-0004-0000-0000-000000000000}"/>
    <hyperlink ref="C3" r:id="rId2" display="https://www.qwant.com/" xr:uid="{00000000-0004-0000-0000-000001000000}"/>
    <hyperlink ref="C4" r:id="rId3" display="https://www.good-search.org/" xr:uid="{00000000-0004-0000-0000-000002000000}"/>
    <hyperlink ref="C5" r:id="rId4" display="https://www.ekoru.org/" xr:uid="{00000000-0004-0000-0000-000003000000}"/>
    <hyperlink ref="C6" r:id="rId5" display="https://www.lilo.org/" xr:uid="{00000000-0004-0000-0000-000004000000}"/>
    <hyperlink ref="C7" r:id="rId6" display="https://www.deepseek.com/" xr:uid="{00000000-0004-0000-0000-000005000000}"/>
    <hyperlink ref="C8" r:id="rId7" display="https://www.viro.app/" xr:uid="{00000000-0004-0000-0000-000006000000}"/>
    <hyperlink ref="C9" r:id="rId8" display="https://www.greenframe.io/" xr:uid="{00000000-0004-0000-0000-000007000000}"/>
    <hyperlink ref="C10" r:id="rId9" display="https://www.websitecarbon.com/" xr:uid="{00000000-0004-0000-0000-000008000000}"/>
    <hyperlink ref="C11" r:id="rId10" display="https://www.digitalbeacon.co/" xr:uid="{00000000-0004-0000-0000-000009000000}"/>
    <hyperlink ref="C12" r:id="rId11" display="https://www.ecograder.com/" xr:uid="{00000000-0004-0000-0000-00000A000000}"/>
    <hyperlink ref="C13" r:id="rId12" display="https://www.cloudcarbonfootprint.org/" xr:uid="{00000000-0004-0000-0000-00000B000000}"/>
    <hyperlink ref="C14" r:id="rId13" display="https://www.co2ai.com/" xr:uid="{00000000-0004-0000-0000-00000C000000}"/>
    <hyperlink ref="C15" r:id="rId14" xr:uid="{00000000-0004-0000-0000-00000D000000}"/>
    <hyperlink ref="C16" r:id="rId15" display="https://www.greengeeks.com/" xr:uid="{00000000-0004-0000-0000-00000E000000}"/>
    <hyperlink ref="C17" r:id="rId16" display="https://www.dreamhost.com/" xr:uid="{00000000-0004-0000-0000-00000F000000}"/>
    <hyperlink ref="C18" r:id="rId17" xr:uid="{00000000-0004-0000-0000-000010000000}"/>
    <hyperlink ref="C19" r:id="rId18" xr:uid="{00000000-0004-0000-0000-000011000000}"/>
    <hyperlink ref="C20" r:id="rId19" display="https://www.codecarbon.io/" xr:uid="{00000000-0004-0000-0000-000012000000}"/>
    <hyperlink ref="C21" r:id="rId20" display="https://www.green-coding.io/" xr:uid="{00000000-0004-0000-0000-000013000000}"/>
    <hyperlink ref="C22" r:id="rId21" xr:uid="{00000000-0004-0000-0000-000014000000}"/>
    <hyperlink ref="C23" r:id="rId22" xr:uid="{00000000-0004-0000-0000-000015000000}"/>
    <hyperlink ref="C24" r:id="rId23" display="https://www.ec0lint.com/" xr:uid="{00000000-0004-0000-0000-000016000000}"/>
    <hyperlink ref="C25" r:id="rId24" display="https://www.greensoftware.foundation/" xr:uid="{00000000-0004-0000-0000-000017000000}"/>
    <hyperlink ref="C26" r:id="rId25" display="https://www.treeclicks.com/" xr:uid="{00000000-0004-0000-0000-000018000000}"/>
  </hyperlinks>
  <pageMargins left="0.7" right="0.7" top="0.75" bottom="0.75" header="0.3" footer="0.3"/>
  <tableParts count="1"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M17" sqref="M17"/>
    </sheetView>
  </sheetViews>
  <sheetFormatPr defaultColWidth="9.01171875" defaultRowHeight="15" x14ac:dyDescent="0.2"/>
  <cols>
    <col min="1" max="1" width="25.421875" style="9" bestFit="1" customWidth="1"/>
    <col min="2" max="2" width="13.98828125" style="9" bestFit="1" customWidth="1"/>
    <col min="3" max="16384" width="9.01171875" style="9"/>
  </cols>
  <sheetData>
    <row r="1" spans="1:2" x14ac:dyDescent="0.2">
      <c r="A1" s="7" t="s">
        <v>5</v>
      </c>
      <c r="B1" s="7" t="s">
        <v>159</v>
      </c>
    </row>
    <row r="2" spans="1:2" x14ac:dyDescent="0.2">
      <c r="A2" s="8" t="s">
        <v>110</v>
      </c>
      <c r="B2" s="8">
        <v>8</v>
      </c>
    </row>
    <row r="3" spans="1:2" x14ac:dyDescent="0.2">
      <c r="A3" s="8" t="s">
        <v>12</v>
      </c>
      <c r="B3" s="8">
        <v>5</v>
      </c>
    </row>
    <row r="4" spans="1:2" x14ac:dyDescent="0.2">
      <c r="A4" s="8" t="s">
        <v>79</v>
      </c>
      <c r="B4" s="8">
        <v>5</v>
      </c>
    </row>
    <row r="5" spans="1:2" x14ac:dyDescent="0.2">
      <c r="A5" s="8" t="s">
        <v>54</v>
      </c>
      <c r="B5" s="8">
        <v>4</v>
      </c>
    </row>
    <row r="6" spans="1:2" x14ac:dyDescent="0.2">
      <c r="A6" s="8" t="s">
        <v>41</v>
      </c>
      <c r="B6" s="8">
        <v>2</v>
      </c>
    </row>
    <row r="7" spans="1:2" x14ac:dyDescent="0.2">
      <c r="A7" s="8" t="s">
        <v>156</v>
      </c>
      <c r="B7" s="8">
        <v>1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sqref="A1:B8"/>
    </sheetView>
  </sheetViews>
  <sheetFormatPr defaultColWidth="9.01171875" defaultRowHeight="15" x14ac:dyDescent="0.2"/>
  <cols>
    <col min="1" max="1" width="18.96484375" style="9" bestFit="1" customWidth="1"/>
    <col min="2" max="2" width="9.953125" style="9" bestFit="1" customWidth="1"/>
    <col min="3" max="16384" width="9.01171875" style="9"/>
  </cols>
  <sheetData>
    <row r="1" spans="1:2" x14ac:dyDescent="0.2">
      <c r="A1" s="7" t="s">
        <v>160</v>
      </c>
      <c r="B1" s="7" t="s">
        <v>161</v>
      </c>
    </row>
    <row r="2" spans="1:2" x14ac:dyDescent="0.2">
      <c r="A2" s="8" t="s">
        <v>162</v>
      </c>
      <c r="B2" s="8">
        <v>18</v>
      </c>
    </row>
    <row r="3" spans="1:2" x14ac:dyDescent="0.2">
      <c r="A3" s="8" t="s">
        <v>163</v>
      </c>
      <c r="B3" s="8">
        <v>16</v>
      </c>
    </row>
    <row r="4" spans="1:2" x14ac:dyDescent="0.2">
      <c r="A4" s="8" t="s">
        <v>164</v>
      </c>
      <c r="B4" s="8">
        <v>15</v>
      </c>
    </row>
    <row r="5" spans="1:2" x14ac:dyDescent="0.2">
      <c r="A5" s="8" t="s">
        <v>165</v>
      </c>
      <c r="B5" s="8">
        <v>6</v>
      </c>
    </row>
    <row r="6" spans="1:2" x14ac:dyDescent="0.2">
      <c r="A6" s="8" t="s">
        <v>166</v>
      </c>
      <c r="B6" s="8">
        <v>6</v>
      </c>
    </row>
    <row r="7" spans="1:2" x14ac:dyDescent="0.2">
      <c r="A7" s="8" t="s">
        <v>167</v>
      </c>
      <c r="B7" s="8">
        <v>5</v>
      </c>
    </row>
    <row r="8" spans="1:2" x14ac:dyDescent="0.2">
      <c r="A8" s="8" t="s">
        <v>168</v>
      </c>
      <c r="B8" s="8">
        <v>3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topLeftCell="A8" workbookViewId="0">
      <selection activeCell="G17" sqref="G17"/>
    </sheetView>
  </sheetViews>
  <sheetFormatPr defaultColWidth="9.01171875" defaultRowHeight="15" x14ac:dyDescent="0.2"/>
  <cols>
    <col min="1" max="1" width="29.99609375" style="9" customWidth="1"/>
    <col min="2" max="2" width="20.71484375" style="9" bestFit="1" customWidth="1"/>
    <col min="3" max="3" width="19.90625" style="9" bestFit="1" customWidth="1"/>
    <col min="4" max="4" width="16.6796875" style="9" bestFit="1" customWidth="1"/>
    <col min="5" max="5" width="19.90625" style="9" bestFit="1" customWidth="1"/>
    <col min="6" max="6" width="16.41015625" style="9" bestFit="1" customWidth="1"/>
    <col min="7" max="7" width="13.5859375" style="9" bestFit="1" customWidth="1"/>
    <col min="8" max="8" width="20.04296875" style="9" bestFit="1" customWidth="1"/>
    <col min="9" max="16384" width="9.01171875" style="9"/>
  </cols>
  <sheetData>
    <row r="1" spans="1:8" x14ac:dyDescent="0.2">
      <c r="A1" s="7" t="s">
        <v>5</v>
      </c>
      <c r="B1" s="10" t="s">
        <v>162</v>
      </c>
      <c r="C1" s="10" t="s">
        <v>163</v>
      </c>
      <c r="D1" s="10" t="s">
        <v>164</v>
      </c>
      <c r="E1" s="10" t="s">
        <v>165</v>
      </c>
      <c r="F1" s="10" t="s">
        <v>166</v>
      </c>
      <c r="G1" s="10" t="s">
        <v>167</v>
      </c>
      <c r="H1" s="10" t="s">
        <v>168</v>
      </c>
    </row>
    <row r="2" spans="1:8" x14ac:dyDescent="0.2">
      <c r="A2" s="8" t="s">
        <v>12</v>
      </c>
      <c r="B2" s="8">
        <v>2</v>
      </c>
      <c r="C2" s="8">
        <v>2</v>
      </c>
      <c r="D2" s="8">
        <v>4</v>
      </c>
      <c r="E2" s="8">
        <v>2</v>
      </c>
      <c r="F2" s="8">
        <v>1</v>
      </c>
      <c r="G2" s="8">
        <v>2</v>
      </c>
      <c r="H2" s="8">
        <v>1</v>
      </c>
    </row>
    <row r="3" spans="1:8" x14ac:dyDescent="0.2">
      <c r="A3" s="8" t="s">
        <v>41</v>
      </c>
      <c r="B3" s="8">
        <v>1</v>
      </c>
      <c r="C3" s="8">
        <v>1</v>
      </c>
      <c r="D3" s="8">
        <v>2</v>
      </c>
      <c r="E3" s="8">
        <v>1</v>
      </c>
      <c r="F3" s="8">
        <v>1</v>
      </c>
      <c r="G3" s="8">
        <v>0</v>
      </c>
      <c r="H3" s="8">
        <v>0</v>
      </c>
    </row>
    <row r="4" spans="1:8" x14ac:dyDescent="0.2">
      <c r="A4" s="8" t="s">
        <v>54</v>
      </c>
      <c r="B4" s="8">
        <v>4</v>
      </c>
      <c r="C4" s="8">
        <v>4</v>
      </c>
      <c r="D4" s="8">
        <v>1</v>
      </c>
      <c r="E4" s="8">
        <v>0</v>
      </c>
      <c r="F4" s="8">
        <v>0</v>
      </c>
      <c r="G4" s="8">
        <v>2</v>
      </c>
      <c r="H4" s="8">
        <v>0</v>
      </c>
    </row>
    <row r="5" spans="1:8" x14ac:dyDescent="0.2">
      <c r="A5" s="8" t="s">
        <v>79</v>
      </c>
      <c r="B5" s="8">
        <v>3</v>
      </c>
      <c r="C5" s="8">
        <v>3</v>
      </c>
      <c r="D5" s="8">
        <v>4</v>
      </c>
      <c r="E5" s="8">
        <v>0</v>
      </c>
      <c r="F5" s="8">
        <v>4</v>
      </c>
      <c r="G5" s="8">
        <v>0</v>
      </c>
      <c r="H5" s="8">
        <v>0</v>
      </c>
    </row>
    <row r="6" spans="1:8" x14ac:dyDescent="0.2">
      <c r="A6" s="8" t="s">
        <v>110</v>
      </c>
      <c r="B6" s="8">
        <v>7</v>
      </c>
      <c r="C6" s="8">
        <v>6</v>
      </c>
      <c r="D6" s="8">
        <v>4</v>
      </c>
      <c r="E6" s="8">
        <v>2</v>
      </c>
      <c r="F6" s="8">
        <v>0</v>
      </c>
      <c r="G6" s="8">
        <v>0</v>
      </c>
      <c r="H6" s="8">
        <v>2</v>
      </c>
    </row>
    <row r="7" spans="1:8" x14ac:dyDescent="0.2">
      <c r="A7" s="8" t="s">
        <v>156</v>
      </c>
      <c r="B7" s="8">
        <v>1</v>
      </c>
      <c r="C7" s="8">
        <v>0</v>
      </c>
      <c r="D7" s="8">
        <v>0</v>
      </c>
      <c r="E7" s="8">
        <v>1</v>
      </c>
      <c r="F7" s="8">
        <v>0</v>
      </c>
      <c r="G7" s="8">
        <v>1</v>
      </c>
      <c r="H7" s="8">
        <v>0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>
      <selection activeCell="F9" sqref="F9"/>
    </sheetView>
  </sheetViews>
  <sheetFormatPr defaultColWidth="9.01171875" defaultRowHeight="15" x14ac:dyDescent="0.2"/>
  <cols>
    <col min="1" max="1" width="29.99609375" style="9" customWidth="1"/>
    <col min="2" max="8" width="6.9921875" style="9" bestFit="1" customWidth="1"/>
    <col min="9" max="16384" width="9.01171875" style="9"/>
  </cols>
  <sheetData>
    <row r="1" spans="1:8" ht="161.25" customHeight="1" x14ac:dyDescent="0.2">
      <c r="A1" s="11" t="s">
        <v>5</v>
      </c>
      <c r="B1" s="12" t="s">
        <v>162</v>
      </c>
      <c r="C1" s="12" t="s">
        <v>163</v>
      </c>
      <c r="D1" s="12" t="s">
        <v>164</v>
      </c>
      <c r="E1" s="12" t="s">
        <v>165</v>
      </c>
      <c r="F1" s="12" t="s">
        <v>166</v>
      </c>
      <c r="G1" s="12" t="s">
        <v>167</v>
      </c>
      <c r="H1" s="13" t="s">
        <v>168</v>
      </c>
    </row>
    <row r="2" spans="1:8" x14ac:dyDescent="0.2">
      <c r="A2" s="14" t="s">
        <v>12</v>
      </c>
      <c r="B2" s="15">
        <v>2</v>
      </c>
      <c r="C2" s="15">
        <v>2</v>
      </c>
      <c r="D2" s="15">
        <v>4</v>
      </c>
      <c r="E2" s="15">
        <v>2</v>
      </c>
      <c r="F2" s="15">
        <v>1</v>
      </c>
      <c r="G2" s="15">
        <v>2</v>
      </c>
      <c r="H2" s="16">
        <v>1</v>
      </c>
    </row>
    <row r="3" spans="1:8" x14ac:dyDescent="0.2">
      <c r="A3" s="14" t="s">
        <v>41</v>
      </c>
      <c r="B3" s="15">
        <v>1</v>
      </c>
      <c r="C3" s="15">
        <v>1</v>
      </c>
      <c r="D3" s="15">
        <v>2</v>
      </c>
      <c r="E3" s="15">
        <v>1</v>
      </c>
      <c r="F3" s="15">
        <v>1</v>
      </c>
      <c r="G3" s="15">
        <v>0</v>
      </c>
      <c r="H3" s="16">
        <v>0</v>
      </c>
    </row>
    <row r="4" spans="1:8" x14ac:dyDescent="0.2">
      <c r="A4" s="14" t="s">
        <v>54</v>
      </c>
      <c r="B4" s="15">
        <v>4</v>
      </c>
      <c r="C4" s="15">
        <v>4</v>
      </c>
      <c r="D4" s="15">
        <v>1</v>
      </c>
      <c r="E4" s="15">
        <v>0</v>
      </c>
      <c r="F4" s="15">
        <v>0</v>
      </c>
      <c r="G4" s="15">
        <v>2</v>
      </c>
      <c r="H4" s="16">
        <v>0</v>
      </c>
    </row>
    <row r="5" spans="1:8" x14ac:dyDescent="0.2">
      <c r="A5" s="14" t="s">
        <v>79</v>
      </c>
      <c r="B5" s="15">
        <v>3</v>
      </c>
      <c r="C5" s="15">
        <v>3</v>
      </c>
      <c r="D5" s="15">
        <v>4</v>
      </c>
      <c r="E5" s="15">
        <v>0</v>
      </c>
      <c r="F5" s="15">
        <v>4</v>
      </c>
      <c r="G5" s="15">
        <v>0</v>
      </c>
      <c r="H5" s="16">
        <v>0</v>
      </c>
    </row>
    <row r="6" spans="1:8" x14ac:dyDescent="0.2">
      <c r="A6" s="14" t="s">
        <v>110</v>
      </c>
      <c r="B6" s="15">
        <v>7</v>
      </c>
      <c r="C6" s="15">
        <v>6</v>
      </c>
      <c r="D6" s="15">
        <v>4</v>
      </c>
      <c r="E6" s="15">
        <v>2</v>
      </c>
      <c r="F6" s="15">
        <v>0</v>
      </c>
      <c r="G6" s="15">
        <v>0</v>
      </c>
      <c r="H6" s="16">
        <v>2</v>
      </c>
    </row>
    <row r="7" spans="1:8" x14ac:dyDescent="0.2">
      <c r="A7" s="17" t="s">
        <v>156</v>
      </c>
      <c r="B7" s="18">
        <v>1</v>
      </c>
      <c r="C7" s="18">
        <v>0</v>
      </c>
      <c r="D7" s="18">
        <v>0</v>
      </c>
      <c r="E7" s="18">
        <v>1</v>
      </c>
      <c r="F7" s="18">
        <v>0</v>
      </c>
      <c r="G7" s="18">
        <v>1</v>
      </c>
      <c r="H7" s="19">
        <v>0</v>
      </c>
    </row>
    <row r="9" spans="1:8" x14ac:dyDescent="0.2">
      <c r="A9" s="20" t="s">
        <v>169</v>
      </c>
    </row>
  </sheetData>
  <conditionalFormatting sqref="B2:H7">
    <cfRule type="colorScale" priority="1">
      <colorScale>
        <cfvo type="min"/>
        <cfvo type="percentile" val="50"/>
        <cfvo type="max"/>
        <color rgb="FFFFFFFF"/>
        <color theme="7" tint="0.79998168889431442"/>
        <color theme="7" tint="-0.499984740745262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topLeftCell="A12" workbookViewId="0">
      <selection activeCell="I23" sqref="I23"/>
    </sheetView>
  </sheetViews>
  <sheetFormatPr defaultColWidth="9.01171875" defaultRowHeight="15" x14ac:dyDescent="0.2"/>
  <cols>
    <col min="1" max="1" width="34.97265625" style="9" customWidth="1"/>
    <col min="2" max="2" width="31.609375" style="9" customWidth="1"/>
    <col min="3" max="16384" width="9.01171875" style="9"/>
  </cols>
  <sheetData>
    <row r="1" spans="1:2" x14ac:dyDescent="0.2">
      <c r="A1" s="7" t="s">
        <v>170</v>
      </c>
      <c r="B1" s="7" t="s">
        <v>171</v>
      </c>
    </row>
    <row r="2" spans="1:2" x14ac:dyDescent="0.2">
      <c r="A2" s="8" t="s">
        <v>172</v>
      </c>
      <c r="B2" s="8">
        <v>5</v>
      </c>
    </row>
    <row r="3" spans="1:2" x14ac:dyDescent="0.2">
      <c r="A3" s="8" t="s">
        <v>173</v>
      </c>
      <c r="B3" s="8">
        <v>5</v>
      </c>
    </row>
    <row r="4" spans="1:2" x14ac:dyDescent="0.2">
      <c r="A4" s="8" t="s">
        <v>174</v>
      </c>
      <c r="B4" s="8">
        <v>2</v>
      </c>
    </row>
    <row r="5" spans="1:2" x14ac:dyDescent="0.2">
      <c r="A5" s="8" t="s">
        <v>175</v>
      </c>
      <c r="B5" s="8">
        <v>2</v>
      </c>
    </row>
    <row r="6" spans="1:2" x14ac:dyDescent="0.2">
      <c r="A6" s="8" t="s">
        <v>176</v>
      </c>
      <c r="B6" s="8">
        <v>2</v>
      </c>
    </row>
    <row r="7" spans="1:2" x14ac:dyDescent="0.2">
      <c r="A7" s="8" t="s">
        <v>177</v>
      </c>
      <c r="B7" s="8">
        <v>2</v>
      </c>
    </row>
    <row r="8" spans="1:2" x14ac:dyDescent="0.2">
      <c r="A8" s="8" t="s">
        <v>178</v>
      </c>
      <c r="B8" s="8">
        <v>2</v>
      </c>
    </row>
    <row r="9" spans="1:2" x14ac:dyDescent="0.2">
      <c r="A9" s="8" t="s">
        <v>179</v>
      </c>
      <c r="B9" s="8">
        <v>2</v>
      </c>
    </row>
    <row r="10" spans="1:2" x14ac:dyDescent="0.2">
      <c r="A10" s="8" t="s">
        <v>116</v>
      </c>
      <c r="B10" s="8">
        <v>2</v>
      </c>
    </row>
    <row r="11" spans="1:2" x14ac:dyDescent="0.2">
      <c r="A11" s="8" t="s">
        <v>180</v>
      </c>
      <c r="B11" s="8">
        <v>2</v>
      </c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19"/>
  <sheetViews>
    <sheetView zoomScale="84" workbookViewId="0">
      <selection activeCell="V11" sqref="V11"/>
    </sheetView>
  </sheetViews>
  <sheetFormatPr defaultColWidth="9.01171875" defaultRowHeight="15" x14ac:dyDescent="0.2"/>
  <cols>
    <col min="1" max="1" width="9.01171875" style="9"/>
    <col min="2" max="2" width="25.421875" style="9" bestFit="1" customWidth="1"/>
    <col min="3" max="3" width="9.953125" style="9" bestFit="1" customWidth="1"/>
    <col min="4" max="4" width="9.01171875" style="9"/>
    <col min="5" max="5" width="9.55078125" style="9" bestFit="1" customWidth="1"/>
    <col min="6" max="6" width="9.4140625" style="9" bestFit="1" customWidth="1"/>
    <col min="7" max="7" width="13.5859375" style="9" bestFit="1" customWidth="1"/>
    <col min="8" max="8" width="27.84375" style="9" customWidth="1"/>
    <col min="9" max="16384" width="9.01171875" style="9"/>
  </cols>
  <sheetData>
    <row r="1" spans="2:20" ht="23.25" x14ac:dyDescent="0.3">
      <c r="E1" s="27" t="s">
        <v>181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2:20" ht="18.75" x14ac:dyDescent="0.25">
      <c r="E2" s="28" t="s">
        <v>182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4" spans="2:20" x14ac:dyDescent="0.2">
      <c r="B4" s="21" t="s">
        <v>5</v>
      </c>
      <c r="C4" s="21" t="s">
        <v>161</v>
      </c>
      <c r="E4" s="25" t="s">
        <v>183</v>
      </c>
      <c r="F4" s="26"/>
      <c r="G4" s="26"/>
      <c r="H4" s="26"/>
    </row>
    <row r="5" spans="2:20" x14ac:dyDescent="0.2">
      <c r="B5" s="8" t="s">
        <v>110</v>
      </c>
      <c r="C5" s="8">
        <v>8</v>
      </c>
      <c r="E5" s="24" t="s">
        <v>184</v>
      </c>
      <c r="F5" s="24" t="s">
        <v>185</v>
      </c>
      <c r="G5" s="24" t="s">
        <v>186</v>
      </c>
      <c r="H5" s="24" t="s">
        <v>187</v>
      </c>
    </row>
    <row r="6" spans="2:20" ht="31.5" x14ac:dyDescent="0.2">
      <c r="B6" s="8" t="s">
        <v>12</v>
      </c>
      <c r="C6" s="8">
        <v>5</v>
      </c>
      <c r="E6" s="22">
        <v>25</v>
      </c>
      <c r="F6" s="22">
        <v>6</v>
      </c>
      <c r="G6" s="22">
        <v>7</v>
      </c>
      <c r="H6" s="23" t="s">
        <v>162</v>
      </c>
    </row>
    <row r="7" spans="2:20" x14ac:dyDescent="0.2">
      <c r="B7" s="8" t="s">
        <v>79</v>
      </c>
      <c r="C7" s="8">
        <v>5</v>
      </c>
    </row>
    <row r="8" spans="2:20" x14ac:dyDescent="0.2">
      <c r="B8" s="8" t="s">
        <v>54</v>
      </c>
      <c r="C8" s="8">
        <v>4</v>
      </c>
    </row>
    <row r="9" spans="2:20" x14ac:dyDescent="0.2">
      <c r="B9" s="8" t="s">
        <v>41</v>
      </c>
      <c r="C9" s="8">
        <v>2</v>
      </c>
    </row>
    <row r="10" spans="2:20" x14ac:dyDescent="0.2">
      <c r="B10" s="8" t="s">
        <v>156</v>
      </c>
      <c r="C10" s="8">
        <v>1</v>
      </c>
    </row>
    <row r="14" spans="2:20" x14ac:dyDescent="0.2">
      <c r="B14" s="21" t="s">
        <v>160</v>
      </c>
      <c r="C14" s="21" t="s">
        <v>161</v>
      </c>
    </row>
    <row r="15" spans="2:20" x14ac:dyDescent="0.2">
      <c r="B15" s="8" t="s">
        <v>162</v>
      </c>
      <c r="C15" s="8">
        <v>18</v>
      </c>
    </row>
    <row r="16" spans="2:20" x14ac:dyDescent="0.2">
      <c r="B16" s="8" t="s">
        <v>163</v>
      </c>
      <c r="C16" s="8">
        <v>16</v>
      </c>
    </row>
    <row r="17" spans="2:3" x14ac:dyDescent="0.2">
      <c r="B17" s="8" t="s">
        <v>164</v>
      </c>
      <c r="C17" s="8">
        <v>15</v>
      </c>
    </row>
    <row r="18" spans="2:3" x14ac:dyDescent="0.2">
      <c r="B18" s="8" t="s">
        <v>165</v>
      </c>
      <c r="C18" s="8">
        <v>6</v>
      </c>
    </row>
    <row r="19" spans="2:3" x14ac:dyDescent="0.2">
      <c r="B19" s="8" t="s">
        <v>166</v>
      </c>
      <c r="C19" s="8">
        <v>6</v>
      </c>
    </row>
  </sheetData>
  <mergeCells count="3">
    <mergeCell ref="E4:H4"/>
    <mergeCell ref="E1:T1"/>
    <mergeCell ref="E2:T2"/>
  </mergeCells>
  <pageMargins left="0.75" right="0.75" top="1" bottom="1" header="0.5" footer="0.5"/>
  <pageSetup orientation="portrait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"/>
  <sheetViews>
    <sheetView topLeftCell="A27" workbookViewId="0">
      <selection activeCell="H46" sqref="H46"/>
    </sheetView>
  </sheetViews>
  <sheetFormatPr defaultColWidth="9.01171875" defaultRowHeight="15" x14ac:dyDescent="0.2"/>
  <cols>
    <col min="1" max="1" width="11.97265625" style="9" customWidth="1"/>
    <col min="2" max="2" width="25.01953125" style="9" customWidth="1"/>
    <col min="3" max="3" width="29.99609375" style="9" customWidth="1"/>
    <col min="4" max="4" width="22.8671875" style="9" bestFit="1" customWidth="1"/>
    <col min="5" max="16384" width="9.01171875" style="9"/>
  </cols>
  <sheetData>
    <row r="1" spans="1:4" x14ac:dyDescent="0.2">
      <c r="A1" s="7" t="s">
        <v>188</v>
      </c>
      <c r="B1" s="7" t="s">
        <v>189</v>
      </c>
      <c r="C1" s="7" t="s">
        <v>5</v>
      </c>
      <c r="D1" s="7" t="s">
        <v>190</v>
      </c>
    </row>
    <row r="2" spans="1:4" x14ac:dyDescent="0.2">
      <c r="A2" s="8">
        <v>1</v>
      </c>
      <c r="B2" s="8" t="s">
        <v>8</v>
      </c>
      <c r="C2" s="8" t="s">
        <v>12</v>
      </c>
      <c r="D2" s="8">
        <v>4</v>
      </c>
    </row>
    <row r="3" spans="1:4" x14ac:dyDescent="0.2">
      <c r="A3" s="8">
        <v>2</v>
      </c>
      <c r="B3" s="8" t="s">
        <v>15</v>
      </c>
      <c r="C3" s="8" t="s">
        <v>12</v>
      </c>
      <c r="D3" s="8">
        <v>2</v>
      </c>
    </row>
    <row r="4" spans="1:4" x14ac:dyDescent="0.2">
      <c r="A4" s="8">
        <v>3</v>
      </c>
      <c r="B4" s="8" t="s">
        <v>21</v>
      </c>
      <c r="C4" s="8" t="s">
        <v>12</v>
      </c>
      <c r="D4" s="8">
        <v>3</v>
      </c>
    </row>
    <row r="5" spans="1:4" x14ac:dyDescent="0.2">
      <c r="A5" s="8">
        <v>4</v>
      </c>
      <c r="B5" s="8" t="s">
        <v>27</v>
      </c>
      <c r="C5" s="8" t="s">
        <v>12</v>
      </c>
      <c r="D5" s="8">
        <v>2</v>
      </c>
    </row>
    <row r="6" spans="1:4" x14ac:dyDescent="0.2">
      <c r="A6" s="8">
        <v>5</v>
      </c>
      <c r="B6" s="8" t="s">
        <v>32</v>
      </c>
      <c r="C6" s="8" t="s">
        <v>12</v>
      </c>
      <c r="D6" s="8">
        <v>3</v>
      </c>
    </row>
    <row r="7" spans="1:4" x14ac:dyDescent="0.2">
      <c r="A7" s="8">
        <v>6</v>
      </c>
      <c r="B7" s="8" t="s">
        <v>37</v>
      </c>
      <c r="C7" s="8" t="s">
        <v>41</v>
      </c>
      <c r="D7" s="8">
        <v>3</v>
      </c>
    </row>
    <row r="8" spans="1:4" x14ac:dyDescent="0.2">
      <c r="A8" s="8">
        <v>7</v>
      </c>
      <c r="B8" s="8" t="s">
        <v>44</v>
      </c>
      <c r="C8" s="8" t="s">
        <v>41</v>
      </c>
      <c r="D8" s="8">
        <v>3</v>
      </c>
    </row>
    <row r="9" spans="1:4" x14ac:dyDescent="0.2">
      <c r="A9" s="8">
        <v>8</v>
      </c>
      <c r="B9" s="8" t="s">
        <v>50</v>
      </c>
      <c r="C9" s="8" t="s">
        <v>54</v>
      </c>
      <c r="D9" s="8">
        <v>3</v>
      </c>
    </row>
    <row r="10" spans="1:4" x14ac:dyDescent="0.2">
      <c r="A10" s="8">
        <v>9</v>
      </c>
      <c r="B10" s="8" t="s">
        <v>57</v>
      </c>
      <c r="C10" s="8" t="s">
        <v>54</v>
      </c>
      <c r="D10" s="8">
        <v>3</v>
      </c>
    </row>
    <row r="11" spans="1:4" x14ac:dyDescent="0.2">
      <c r="A11" s="8">
        <v>10</v>
      </c>
      <c r="B11" s="8" t="s">
        <v>63</v>
      </c>
      <c r="C11" s="8" t="s">
        <v>54</v>
      </c>
      <c r="D11" s="8">
        <v>3</v>
      </c>
    </row>
    <row r="12" spans="1:4" x14ac:dyDescent="0.2">
      <c r="A12" s="8">
        <v>11</v>
      </c>
      <c r="B12" s="8" t="s">
        <v>69</v>
      </c>
      <c r="C12" s="8" t="s">
        <v>54</v>
      </c>
      <c r="D12" s="8">
        <v>2</v>
      </c>
    </row>
    <row r="13" spans="1:4" x14ac:dyDescent="0.2">
      <c r="A13" s="8">
        <v>12</v>
      </c>
      <c r="B13" s="8" t="s">
        <v>75</v>
      </c>
      <c r="C13" s="8" t="s">
        <v>79</v>
      </c>
      <c r="D13" s="8">
        <v>3</v>
      </c>
    </row>
    <row r="14" spans="1:4" x14ac:dyDescent="0.2">
      <c r="A14" s="8">
        <v>13</v>
      </c>
      <c r="B14" s="8" t="s">
        <v>82</v>
      </c>
      <c r="C14" s="8" t="s">
        <v>79</v>
      </c>
      <c r="D14" s="8">
        <v>3</v>
      </c>
    </row>
    <row r="15" spans="1:4" x14ac:dyDescent="0.2">
      <c r="A15" s="8">
        <v>14</v>
      </c>
      <c r="B15" s="8" t="s">
        <v>88</v>
      </c>
      <c r="C15" s="8" t="s">
        <v>79</v>
      </c>
      <c r="D15" s="8">
        <v>2</v>
      </c>
    </row>
    <row r="16" spans="1:4" x14ac:dyDescent="0.2">
      <c r="A16" s="8">
        <v>15</v>
      </c>
      <c r="B16" s="8" t="s">
        <v>94</v>
      </c>
      <c r="C16" s="8" t="s">
        <v>79</v>
      </c>
      <c r="D16" s="8">
        <v>3</v>
      </c>
    </row>
    <row r="17" spans="1:4" x14ac:dyDescent="0.2">
      <c r="A17" s="8">
        <v>16</v>
      </c>
      <c r="B17" s="8" t="s">
        <v>100</v>
      </c>
      <c r="C17" s="8" t="s">
        <v>79</v>
      </c>
      <c r="D17" s="8">
        <v>3</v>
      </c>
    </row>
    <row r="18" spans="1:4" x14ac:dyDescent="0.2">
      <c r="A18" s="8">
        <v>17</v>
      </c>
      <c r="B18" s="8" t="s">
        <v>106</v>
      </c>
      <c r="C18" s="8" t="s">
        <v>110</v>
      </c>
      <c r="D18" s="8">
        <v>3</v>
      </c>
    </row>
    <row r="19" spans="1:4" x14ac:dyDescent="0.2">
      <c r="A19" s="8">
        <v>18</v>
      </c>
      <c r="B19" s="8" t="s">
        <v>113</v>
      </c>
      <c r="C19" s="8" t="s">
        <v>110</v>
      </c>
      <c r="D19" s="8">
        <v>2</v>
      </c>
    </row>
    <row r="20" spans="1:4" x14ac:dyDescent="0.2">
      <c r="A20" s="8">
        <v>19</v>
      </c>
      <c r="B20" s="8" t="s">
        <v>119</v>
      </c>
      <c r="C20" s="8" t="s">
        <v>110</v>
      </c>
      <c r="D20" s="8">
        <v>2</v>
      </c>
    </row>
    <row r="21" spans="1:4" x14ac:dyDescent="0.2">
      <c r="A21" s="8">
        <v>20</v>
      </c>
      <c r="B21" s="8" t="s">
        <v>124</v>
      </c>
      <c r="C21" s="8" t="s">
        <v>110</v>
      </c>
      <c r="D21" s="8">
        <v>3</v>
      </c>
    </row>
    <row r="22" spans="1:4" x14ac:dyDescent="0.2">
      <c r="A22" s="8">
        <v>21</v>
      </c>
      <c r="B22" s="8" t="s">
        <v>130</v>
      </c>
      <c r="C22" s="8" t="s">
        <v>110</v>
      </c>
      <c r="D22" s="8">
        <v>2</v>
      </c>
    </row>
    <row r="23" spans="1:4" x14ac:dyDescent="0.2">
      <c r="A23" s="8">
        <v>22</v>
      </c>
      <c r="B23" s="8" t="s">
        <v>135</v>
      </c>
      <c r="C23" s="8" t="s">
        <v>110</v>
      </c>
      <c r="D23" s="8">
        <v>3</v>
      </c>
    </row>
    <row r="24" spans="1:4" x14ac:dyDescent="0.2">
      <c r="A24" s="8">
        <v>23</v>
      </c>
      <c r="B24" s="8" t="s">
        <v>141</v>
      </c>
      <c r="C24" s="8" t="s">
        <v>110</v>
      </c>
      <c r="D24" s="8">
        <v>3</v>
      </c>
    </row>
    <row r="25" spans="1:4" x14ac:dyDescent="0.2">
      <c r="A25" s="8">
        <v>24</v>
      </c>
      <c r="B25" s="8" t="s">
        <v>147</v>
      </c>
      <c r="C25" s="8" t="s">
        <v>110</v>
      </c>
      <c r="D25" s="8">
        <v>3</v>
      </c>
    </row>
    <row r="26" spans="1:4" x14ac:dyDescent="0.2">
      <c r="A26" s="8">
        <v>25</v>
      </c>
      <c r="B26" s="8" t="s">
        <v>152</v>
      </c>
      <c r="C26" s="8" t="s">
        <v>156</v>
      </c>
      <c r="D26" s="8">
        <v>3</v>
      </c>
    </row>
  </sheetData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>
      <selection activeCell="G8" sqref="G8"/>
    </sheetView>
  </sheetViews>
  <sheetFormatPr defaultColWidth="9.01171875" defaultRowHeight="15" x14ac:dyDescent="0.2"/>
  <cols>
    <col min="1" max="1" width="6.05078125" style="9" bestFit="1" customWidth="1"/>
    <col min="2" max="2" width="22.59765625" style="9" bestFit="1" customWidth="1"/>
    <col min="3" max="3" width="25.421875" style="9" bestFit="1" customWidth="1"/>
    <col min="4" max="4" width="18.0234375" style="9" bestFit="1" customWidth="1"/>
    <col min="5" max="5" width="66.453125" style="9" bestFit="1" customWidth="1"/>
    <col min="6" max="16384" width="9.01171875" style="9"/>
  </cols>
  <sheetData>
    <row r="1" spans="1:5" ht="18.75" x14ac:dyDescent="0.25">
      <c r="A1" s="28" t="s">
        <v>191</v>
      </c>
      <c r="B1" s="29"/>
      <c r="C1" s="29"/>
      <c r="D1" s="29"/>
      <c r="E1" s="29"/>
    </row>
    <row r="3" spans="1:5" x14ac:dyDescent="0.2">
      <c r="A3" s="7" t="s">
        <v>0</v>
      </c>
      <c r="B3" s="7" t="s">
        <v>1</v>
      </c>
      <c r="C3" s="7" t="s">
        <v>5</v>
      </c>
      <c r="D3" s="7" t="s">
        <v>192</v>
      </c>
      <c r="E3" s="7" t="s">
        <v>186</v>
      </c>
    </row>
    <row r="4" spans="1:5" x14ac:dyDescent="0.2">
      <c r="A4" s="8">
        <v>1</v>
      </c>
      <c r="B4" s="8" t="s">
        <v>8</v>
      </c>
      <c r="C4" s="8" t="s">
        <v>12</v>
      </c>
      <c r="D4" s="8">
        <v>4</v>
      </c>
      <c r="E4" s="8" t="s">
        <v>14</v>
      </c>
    </row>
    <row r="5" spans="1:5" x14ac:dyDescent="0.2">
      <c r="A5" s="8">
        <v>2</v>
      </c>
      <c r="B5" s="8" t="s">
        <v>15</v>
      </c>
      <c r="C5" s="8" t="s">
        <v>12</v>
      </c>
      <c r="D5" s="8">
        <v>2</v>
      </c>
      <c r="E5" s="8" t="s">
        <v>20</v>
      </c>
    </row>
    <row r="6" spans="1:5" x14ac:dyDescent="0.2">
      <c r="A6" s="8">
        <v>3</v>
      </c>
      <c r="B6" s="8" t="s">
        <v>21</v>
      </c>
      <c r="C6" s="8" t="s">
        <v>12</v>
      </c>
      <c r="D6" s="8">
        <v>3</v>
      </c>
      <c r="E6" s="8" t="s">
        <v>26</v>
      </c>
    </row>
    <row r="7" spans="1:5" x14ac:dyDescent="0.2">
      <c r="A7" s="8">
        <v>4</v>
      </c>
      <c r="B7" s="8" t="s">
        <v>27</v>
      </c>
      <c r="C7" s="8" t="s">
        <v>12</v>
      </c>
      <c r="D7" s="8">
        <v>2</v>
      </c>
      <c r="E7" s="8" t="s">
        <v>31</v>
      </c>
    </row>
    <row r="8" spans="1:5" x14ac:dyDescent="0.2">
      <c r="A8" s="8">
        <v>5</v>
      </c>
      <c r="B8" s="8" t="s">
        <v>32</v>
      </c>
      <c r="C8" s="8" t="s">
        <v>12</v>
      </c>
      <c r="D8" s="8">
        <v>3</v>
      </c>
      <c r="E8" s="8" t="s">
        <v>36</v>
      </c>
    </row>
    <row r="9" spans="1:5" x14ac:dyDescent="0.2">
      <c r="A9" s="8">
        <v>6</v>
      </c>
      <c r="B9" s="8" t="s">
        <v>37</v>
      </c>
      <c r="C9" s="8" t="s">
        <v>41</v>
      </c>
      <c r="D9" s="8">
        <v>3</v>
      </c>
      <c r="E9" s="8" t="s">
        <v>43</v>
      </c>
    </row>
    <row r="10" spans="1:5" x14ac:dyDescent="0.2">
      <c r="A10" s="8">
        <v>7</v>
      </c>
      <c r="B10" s="8" t="s">
        <v>44</v>
      </c>
      <c r="C10" s="8" t="s">
        <v>41</v>
      </c>
      <c r="D10" s="8">
        <v>3</v>
      </c>
      <c r="E10" s="8" t="s">
        <v>49</v>
      </c>
    </row>
    <row r="11" spans="1:5" x14ac:dyDescent="0.2">
      <c r="A11" s="8">
        <v>8</v>
      </c>
      <c r="B11" s="8" t="s">
        <v>50</v>
      </c>
      <c r="C11" s="8" t="s">
        <v>54</v>
      </c>
      <c r="D11" s="8">
        <v>3</v>
      </c>
      <c r="E11" s="8" t="s">
        <v>56</v>
      </c>
    </row>
    <row r="12" spans="1:5" x14ac:dyDescent="0.2">
      <c r="A12" s="8">
        <v>9</v>
      </c>
      <c r="B12" s="8" t="s">
        <v>57</v>
      </c>
      <c r="C12" s="8" t="s">
        <v>54</v>
      </c>
      <c r="D12" s="8">
        <v>3</v>
      </c>
      <c r="E12" s="8" t="s">
        <v>62</v>
      </c>
    </row>
    <row r="13" spans="1:5" x14ac:dyDescent="0.2">
      <c r="A13" s="8">
        <v>10</v>
      </c>
      <c r="B13" s="8" t="s">
        <v>63</v>
      </c>
      <c r="C13" s="8" t="s">
        <v>54</v>
      </c>
      <c r="D13" s="8">
        <v>3</v>
      </c>
      <c r="E13" s="8" t="s">
        <v>68</v>
      </c>
    </row>
    <row r="14" spans="1:5" x14ac:dyDescent="0.2">
      <c r="A14" s="8">
        <v>11</v>
      </c>
      <c r="B14" s="8" t="s">
        <v>69</v>
      </c>
      <c r="C14" s="8" t="s">
        <v>54</v>
      </c>
      <c r="D14" s="8">
        <v>2</v>
      </c>
      <c r="E14" s="8" t="s">
        <v>74</v>
      </c>
    </row>
    <row r="15" spans="1:5" x14ac:dyDescent="0.2">
      <c r="A15" s="8">
        <v>12</v>
      </c>
      <c r="B15" s="8" t="s">
        <v>75</v>
      </c>
      <c r="C15" s="8" t="s">
        <v>79</v>
      </c>
      <c r="D15" s="8">
        <v>3</v>
      </c>
      <c r="E15" s="8" t="s">
        <v>81</v>
      </c>
    </row>
    <row r="16" spans="1:5" x14ac:dyDescent="0.2">
      <c r="A16" s="8">
        <v>13</v>
      </c>
      <c r="B16" s="8" t="s">
        <v>82</v>
      </c>
      <c r="C16" s="8" t="s">
        <v>79</v>
      </c>
      <c r="D16" s="8">
        <v>3</v>
      </c>
      <c r="E16" s="8" t="s">
        <v>87</v>
      </c>
    </row>
    <row r="17" spans="1:5" x14ac:dyDescent="0.2">
      <c r="A17" s="8">
        <v>14</v>
      </c>
      <c r="B17" s="8" t="s">
        <v>88</v>
      </c>
      <c r="C17" s="8" t="s">
        <v>79</v>
      </c>
      <c r="D17" s="8">
        <v>2</v>
      </c>
      <c r="E17" s="8" t="s">
        <v>93</v>
      </c>
    </row>
    <row r="18" spans="1:5" x14ac:dyDescent="0.2">
      <c r="A18" s="8">
        <v>15</v>
      </c>
      <c r="B18" s="8" t="s">
        <v>94</v>
      </c>
      <c r="C18" s="8" t="s">
        <v>79</v>
      </c>
      <c r="D18" s="8">
        <v>3</v>
      </c>
      <c r="E18" s="8" t="s">
        <v>99</v>
      </c>
    </row>
    <row r="19" spans="1:5" x14ac:dyDescent="0.2">
      <c r="A19" s="8">
        <v>16</v>
      </c>
      <c r="B19" s="8" t="s">
        <v>100</v>
      </c>
      <c r="C19" s="8" t="s">
        <v>79</v>
      </c>
      <c r="D19" s="8">
        <v>3</v>
      </c>
      <c r="E19" s="8" t="s">
        <v>105</v>
      </c>
    </row>
    <row r="20" spans="1:5" x14ac:dyDescent="0.2">
      <c r="A20" s="8">
        <v>17</v>
      </c>
      <c r="B20" s="8" t="s">
        <v>106</v>
      </c>
      <c r="C20" s="8" t="s">
        <v>110</v>
      </c>
      <c r="D20" s="8">
        <v>3</v>
      </c>
      <c r="E20" s="8" t="s">
        <v>112</v>
      </c>
    </row>
    <row r="21" spans="1:5" x14ac:dyDescent="0.2">
      <c r="A21" s="8">
        <v>18</v>
      </c>
      <c r="B21" s="8" t="s">
        <v>113</v>
      </c>
      <c r="C21" s="8" t="s">
        <v>110</v>
      </c>
      <c r="D21" s="8">
        <v>2</v>
      </c>
      <c r="E21" s="8" t="s">
        <v>118</v>
      </c>
    </row>
    <row r="22" spans="1:5" x14ac:dyDescent="0.2">
      <c r="A22" s="8">
        <v>19</v>
      </c>
      <c r="B22" s="8" t="s">
        <v>119</v>
      </c>
      <c r="C22" s="8" t="s">
        <v>110</v>
      </c>
      <c r="D22" s="8">
        <v>2</v>
      </c>
      <c r="E22" s="8" t="s">
        <v>118</v>
      </c>
    </row>
    <row r="23" spans="1:5" x14ac:dyDescent="0.2">
      <c r="A23" s="8">
        <v>20</v>
      </c>
      <c r="B23" s="8" t="s">
        <v>124</v>
      </c>
      <c r="C23" s="8" t="s">
        <v>110</v>
      </c>
      <c r="D23" s="8">
        <v>3</v>
      </c>
      <c r="E23" s="8" t="s">
        <v>129</v>
      </c>
    </row>
    <row r="24" spans="1:5" x14ac:dyDescent="0.2">
      <c r="A24" s="8">
        <v>21</v>
      </c>
      <c r="B24" s="8" t="s">
        <v>130</v>
      </c>
      <c r="C24" s="8" t="s">
        <v>110</v>
      </c>
      <c r="D24" s="8">
        <v>2</v>
      </c>
      <c r="E24" s="8" t="s">
        <v>118</v>
      </c>
    </row>
    <row r="25" spans="1:5" x14ac:dyDescent="0.2">
      <c r="A25" s="8">
        <v>22</v>
      </c>
      <c r="B25" s="8" t="s">
        <v>135</v>
      </c>
      <c r="C25" s="8" t="s">
        <v>110</v>
      </c>
      <c r="D25" s="8">
        <v>3</v>
      </c>
      <c r="E25" s="8" t="s">
        <v>140</v>
      </c>
    </row>
    <row r="26" spans="1:5" x14ac:dyDescent="0.2">
      <c r="A26" s="8">
        <v>23</v>
      </c>
      <c r="B26" s="8" t="s">
        <v>141</v>
      </c>
      <c r="C26" s="8" t="s">
        <v>110</v>
      </c>
      <c r="D26" s="8">
        <v>3</v>
      </c>
      <c r="E26" s="8" t="s">
        <v>146</v>
      </c>
    </row>
    <row r="27" spans="1:5" x14ac:dyDescent="0.2">
      <c r="A27" s="8">
        <v>24</v>
      </c>
      <c r="B27" s="8" t="s">
        <v>147</v>
      </c>
      <c r="C27" s="8" t="s">
        <v>110</v>
      </c>
      <c r="D27" s="8">
        <v>3</v>
      </c>
      <c r="E27" s="8" t="s">
        <v>151</v>
      </c>
    </row>
    <row r="28" spans="1:5" x14ac:dyDescent="0.2">
      <c r="A28" s="8">
        <v>25</v>
      </c>
      <c r="B28" s="8" t="s">
        <v>152</v>
      </c>
      <c r="C28" s="8" t="s">
        <v>156</v>
      </c>
      <c r="D28" s="8">
        <v>3</v>
      </c>
      <c r="E28" s="8" t="s">
        <v>158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916DAE3ECD1D4B9B1174E0C2B44472" ma:contentTypeVersion="14" ma:contentTypeDescription="Create a new document." ma:contentTypeScope="" ma:versionID="7d8ce8d51d46027954b6bbec2746f7ae">
  <xsd:schema xmlns:xsd="http://www.w3.org/2001/XMLSchema" xmlns:xs="http://www.w3.org/2001/XMLSchema" xmlns:p="http://schemas.microsoft.com/office/2006/metadata/properties" xmlns:ns2="6d857b6b-fdfd-4d3f-ad52-20247d10e0eb" xmlns:ns3="d4af183f-f42c-4473-a971-568d619d356f" targetNamespace="http://schemas.microsoft.com/office/2006/metadata/properties" ma:root="true" ma:fieldsID="6b4aa3e23edbd8e94a3282fe00240bf6" ns2:_="" ns3:_="">
    <xsd:import namespace="6d857b6b-fdfd-4d3f-ad52-20247d10e0eb"/>
    <xsd:import namespace="d4af183f-f42c-4473-a971-568d619d35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Recomma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57b6b-fdfd-4d3f-ad52-20247d10e0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Recommand" ma:index="21" nillable="true" ma:displayName="Recommand" ma:format="Dropdown" ma:internalName="Recommand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f183f-f42c-4473-a971-568d619d35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7f841d9-0942-4b96-9996-1f1ca8657f2a}" ma:internalName="TaxCatchAll" ma:showField="CatchAllData" ma:web="d4af183f-f42c-4473-a971-568d619d35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mmand xmlns="6d857b6b-fdfd-4d3f-ad52-20247d10e0eb" xsi:nil="true"/>
    <lcf76f155ced4ddcb4097134ff3c332f xmlns="6d857b6b-fdfd-4d3f-ad52-20247d10e0eb">
      <Terms xmlns="http://schemas.microsoft.com/office/infopath/2007/PartnerControls"/>
    </lcf76f155ced4ddcb4097134ff3c332f>
    <TaxCatchAll xmlns="d4af183f-f42c-4473-a971-568d619d356f" xsi:nil="true"/>
  </documentManagement>
</p:properties>
</file>

<file path=customXml/itemProps1.xml><?xml version="1.0" encoding="utf-8"?>
<ds:datastoreItem xmlns:ds="http://schemas.openxmlformats.org/officeDocument/2006/customXml" ds:itemID="{750DC336-AC83-4645-8CF7-021CA3AD860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d857b6b-fdfd-4d3f-ad52-20247d10e0eb"/>
    <ds:schemaRef ds:uri="d4af183f-f42c-4473-a971-568d619d356f"/>
  </ds:schemaRefs>
</ds:datastoreItem>
</file>

<file path=customXml/itemProps2.xml><?xml version="1.0" encoding="utf-8"?>
<ds:datastoreItem xmlns:ds="http://schemas.openxmlformats.org/officeDocument/2006/customXml" ds:itemID="{F5FA6873-A8C4-4D51-B505-1FBFBBD066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3C074A-3B1A-449F-9CC5-0D84D59C97D8}">
  <ds:schemaRefs>
    <ds:schemaRef ds:uri="http://schemas.microsoft.com/office/2006/metadata/properties"/>
    <ds:schemaRef ds:uri="http://www.w3.org/2000/xmlns/"/>
    <ds:schemaRef ds:uri="6d857b6b-fdfd-4d3f-ad52-20247d10e0eb"/>
    <ds:schemaRef ds:uri="http://www.w3.org/2001/XMLSchema-instance"/>
    <ds:schemaRef ds:uri="http://schemas.microsoft.com/office/infopath/2007/PartnerControls"/>
    <ds:schemaRef ds:uri="d4af183f-f42c-4473-a971-568d619d35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Eco-Friendly Alternatives</vt:lpstr>
      <vt:lpstr>Chart_Category</vt:lpstr>
      <vt:lpstr>Chart_Incentives</vt:lpstr>
      <vt:lpstr>Chart_Mix</vt:lpstr>
      <vt:lpstr>Matrix_Relationships</vt:lpstr>
      <vt:lpstr>Chart_Replacements</vt:lpstr>
      <vt:lpstr>Executive_Dashboard</vt:lpstr>
      <vt:lpstr>Chart_Complexity</vt:lpstr>
      <vt:lpstr>Pivot_Dashboard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Rezaei</dc:creator>
  <cp:keywords/>
  <dc:description/>
  <cp:lastModifiedBy>Mirai Yoshizawa</cp:lastModifiedBy>
  <cp:revision/>
  <dcterms:created xsi:type="dcterms:W3CDTF">2025-11-13T15:20:37Z</dcterms:created>
  <dcterms:modified xsi:type="dcterms:W3CDTF">2025-11-18T13:24:11Z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0x01010065916DAE3ECD1D4B9B1174E0C2B44472</vt:lpwstr>
  </property>
  <property fmtid="{D5CDD505-2E9C-101B-9397-08002B2CF9AE}" pid="3" name="MediaServiceImageTags">
    <vt:lpwstr/>
  </property>
</Properties>
</file>